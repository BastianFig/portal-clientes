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Q:\02-DISEÑO\01-CLIENTES\00-2024\P_YANQUEZ\KAUFMANN\CASA MATRIZ\"/>
    </mc:Choice>
  </mc:AlternateContent>
  <xr:revisionPtr revIDLastSave="0" documentId="13_ncr:1_{339232E0-F350-4290-AD2A-BBBD6F448B72}" xr6:coauthVersionLast="47" xr6:coauthVersionMax="47" xr10:uidLastSave="{00000000-0000-0000-0000-000000000000}"/>
  <bookViews>
    <workbookView xWindow="28680" yWindow="-120" windowWidth="29040" windowHeight="15840" xr2:uid="{C8E71719-6E8B-43EC-9E6D-7EB31202EC04}"/>
  </bookViews>
  <sheets>
    <sheet name="2 - DESPIECE" sheetId="2" r:id="rId1"/>
    <sheet name="1 - COT. RESUMEN" sheetId="1" r:id="rId2"/>
  </sheets>
  <definedNames>
    <definedName name="_MailAutoSig" localSheetId="1">'1 - COT. RESUMEN'!$B$64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2" l="1"/>
  <c r="F21" i="2"/>
  <c r="F19" i="2"/>
  <c r="H19" i="2" s="1"/>
  <c r="H21" i="2"/>
  <c r="H20" i="2"/>
  <c r="F18" i="2"/>
  <c r="H12" i="1"/>
  <c r="H11" i="1"/>
  <c r="H10" i="1"/>
  <c r="H8" i="1"/>
  <c r="H9" i="1"/>
  <c r="F13" i="1"/>
  <c r="F12" i="1"/>
  <c r="F11" i="1"/>
  <c r="F10" i="1"/>
  <c r="F9" i="1"/>
  <c r="F8" i="1"/>
  <c r="I43" i="1"/>
  <c r="I39" i="1"/>
  <c r="I21" i="1"/>
  <c r="H22" i="2"/>
  <c r="I26" i="1"/>
  <c r="I17" i="1"/>
  <c r="I16" i="1"/>
  <c r="H36" i="2" l="1"/>
  <c r="H35" i="2"/>
  <c r="H34" i="2"/>
  <c r="H33" i="2"/>
  <c r="H32" i="2"/>
  <c r="H31" i="2"/>
  <c r="H30" i="2"/>
  <c r="H29" i="2"/>
  <c r="H28" i="2"/>
  <c r="H27" i="2"/>
  <c r="H26" i="2"/>
  <c r="H25" i="2"/>
  <c r="H24" i="2"/>
  <c r="H23" i="2"/>
  <c r="H18" i="2"/>
  <c r="H17" i="2"/>
  <c r="H16" i="2"/>
  <c r="I49" i="1"/>
  <c r="I50" i="1"/>
  <c r="I51" i="1"/>
  <c r="I52" i="1"/>
  <c r="I45" i="1"/>
  <c r="I46" i="1"/>
  <c r="I47" i="1"/>
  <c r="I48" i="1"/>
  <c r="I41" i="1"/>
  <c r="I42" i="1"/>
  <c r="I44" i="1"/>
  <c r="I36" i="1"/>
  <c r="I37" i="1"/>
  <c r="I38" i="1"/>
  <c r="I40" i="1"/>
  <c r="I35" i="1"/>
  <c r="I34" i="1"/>
  <c r="I32" i="1"/>
  <c r="I33" i="1"/>
  <c r="I31" i="1"/>
  <c r="I30" i="1"/>
  <c r="I28" i="1"/>
  <c r="I29" i="1"/>
  <c r="I27" i="1"/>
  <c r="I24" i="1"/>
  <c r="I25" i="1"/>
  <c r="I19" i="1"/>
  <c r="I20" i="1"/>
  <c r="I22" i="1"/>
  <c r="I23" i="1"/>
  <c r="I18" i="1"/>
  <c r="I53" i="1" l="1"/>
  <c r="I55" i="1" s="1"/>
  <c r="I56" i="1" s="1"/>
  <c r="H37" i="2"/>
  <c r="H39" i="2" l="1"/>
  <c r="H40" i="2" s="1"/>
  <c r="H41" i="2" s="1"/>
  <c r="J53" i="1"/>
  <c r="I57" i="1"/>
  <c r="I58" i="1"/>
  <c r="H42" i="2" l="1"/>
  <c r="H43" i="2" s="1"/>
  <c r="H44" i="2" s="1"/>
  <c r="H45" i="2" s="1"/>
  <c r="I59" i="1"/>
  <c r="I60" i="1" s="1"/>
  <c r="I61" i="1" s="1"/>
</calcChain>
</file>

<file path=xl/sharedStrings.xml><?xml version="1.0" encoding="utf-8"?>
<sst xmlns="http://schemas.openxmlformats.org/spreadsheetml/2006/main" count="128" uniqueCount="85">
  <si>
    <t>ITEM</t>
  </si>
  <si>
    <t>CODIGO</t>
  </si>
  <si>
    <t>DESCRIPCIÓN</t>
  </si>
  <si>
    <t>CANTIDAD</t>
  </si>
  <si>
    <t>TOTAL</t>
  </si>
  <si>
    <t xml:space="preserve">SUBTOTAL       </t>
  </si>
  <si>
    <t>NETO</t>
  </si>
  <si>
    <t>IVA                      19%</t>
  </si>
  <si>
    <t>TOTAL FINAL</t>
  </si>
  <si>
    <t>PROYECTO</t>
  </si>
  <si>
    <t>CLIENTE</t>
  </si>
  <si>
    <t>DIRECCIÓN</t>
  </si>
  <si>
    <t>ENCARGADO SR/SRA:</t>
  </si>
  <si>
    <t>FECHA</t>
  </si>
  <si>
    <t>REQUERIMIENTO MOBILIARIO</t>
  </si>
  <si>
    <t>SILLAS - ESCRITORIOS</t>
  </si>
  <si>
    <t>COMUNA</t>
  </si>
  <si>
    <t>CIUDAD</t>
  </si>
  <si>
    <t>TELEFONO</t>
  </si>
  <si>
    <t>EJECUTUVO</t>
  </si>
  <si>
    <t>SANTIAGO</t>
  </si>
  <si>
    <t>FECHA EMISION</t>
  </si>
  <si>
    <t>Nº</t>
  </si>
  <si>
    <t>TIPO</t>
  </si>
  <si>
    <t>DESCRIPCION</t>
  </si>
  <si>
    <t>PRECIO UNITARIO</t>
  </si>
  <si>
    <t>TOTAL TIPO</t>
  </si>
  <si>
    <t>DESCUENTO 15%</t>
  </si>
  <si>
    <t>INSTALACION 3%</t>
  </si>
  <si>
    <t>IVA 19%</t>
  </si>
  <si>
    <t>FLETE 4%</t>
  </si>
  <si>
    <t>R.U.T.</t>
  </si>
  <si>
    <t>Condiciones Comerciales</t>
  </si>
  <si>
    <t>Aceptación de un proyecto</t>
  </si>
  <si>
    <t>Se entenderá por aceptado el proyecto una vez que el cliente haya emitido una orden de compra (OC) por la cotización a Ohffice SpA, se firmen: los planos definitivos del proyecto, colores de terminaciones, tapices, para la fabricación de los productos y se haya cancelado el anticipo pactado en la cotización. Los productos de importación serán facturados al dólar observado del día de facturación.
Solo una vez que se cuente con el anticipo, el proyecto pasa a etapa de fabricación.</t>
  </si>
  <si>
    <t>Rectificación</t>
  </si>
  <si>
    <t>Una vez recibida la OC del cliente, dentro de 2 días, nuestro personal calificado rectificará medidas en obra.  Esto puede producir variaciones en productos, cantidades, valores y plazos de entregas que serán informados al cliente para su aprobación final.  Si el cliente define no rectificar las medidas en terreno y trabajar solo en base a planimetría, cualquier variación de obra que provoquen modificaciones al mobiliario serán de responsabilidad y cargo exclusivo del cliente.</t>
  </si>
  <si>
    <t>Modificaciones</t>
  </si>
  <si>
    <t>Solo se aceptarán modificaciones posteriores a un proyecto aprobado, no instalado, si se acepta por escrito un nuevo presupuesto con las variaciones de productos solicitados y estos costos son asumidos por el cliente. 
Estas modificaciones aprobadas, deben considerar un plazo de entrega de 25 días hábiles, una vez aceptado el presupuesto.</t>
  </si>
  <si>
    <t>Despacho e Instalación</t>
  </si>
  <si>
    <t xml:space="preserve">El despacho e instalación de cada proyectos debe ser considerado y evaluado de forma particular de acuerdo a la ubicación, tipo de mercancía, ubicación, entre otros. 
No se despacharán ni instalarán productos mientras la obra no esté terminada. En caso de que el cliente lo exija, éste asume total responsabilidad por deterioro o daño de los productos. 
La instalación será realizada por personal de Ohffice, conforme con los planos firmados por el cliente en la aceptación del proyecto. Si el cliente quiere realizar la instalación por su propia cuenta, se exime de responsabilidad a Ohffice todo daño o deterioro en los productos.
Toda modificación en la distribución debe ser realizada por escrito solo por el responsable del proyecto. 
En caso de que el cliente no pueda recibir en la fecha comprometida, Ohffice realizará un cargo por bodegaje de 0,3UF por día adicional a la fecha. 
</t>
  </si>
  <si>
    <t>Recepción Final</t>
  </si>
  <si>
    <t xml:space="preserve">El ejecutivo de Ohffice realizará una revisión final con el responsable del proyecto, que se entenderá como recepción final por parte del cliente, liberando el pago final del 10%. </t>
  </si>
  <si>
    <t>Devoluciones</t>
  </si>
  <si>
    <t xml:space="preserve">Ohffice SPA, solo aceptará devoluciones si la devolución del producto se realiza antes de 3 días hábiles después de recibido por el cliente y el producto se encuentre en óptimas condiciones y no haya sido utilizado. No se aceptarán devoluciones de productos especiales fabricados o importados a pedido. </t>
  </si>
  <si>
    <r>
      <t>[1]</t>
    </r>
    <r>
      <rPr>
        <sz val="6"/>
        <rFont val="Calibri"/>
        <family val="2"/>
      </rPr>
      <t xml:space="preserve"> Por espacio no habilitado para rectificar se entiende como aquellos lugares que cuenten con construcciones u modificaciones en su interior. </t>
    </r>
  </si>
  <si>
    <r>
      <t xml:space="preserve">[1] </t>
    </r>
    <r>
      <rPr>
        <sz val="6"/>
        <rFont val="Calibri"/>
        <family val="2"/>
      </rPr>
      <t>Las siguientes provincias pertenecientes a la Región Metropolitana sí cuentan con costo de transporte: Provincia de Maipo, Provincia de Melipilla y Provincia Cordillera.</t>
    </r>
  </si>
  <si>
    <t>PAOLA YANQUEZ</t>
  </si>
  <si>
    <t>9-54133485</t>
  </si>
  <si>
    <r>
      <t>[1]</t>
    </r>
    <r>
      <rPr>
        <sz val="9"/>
        <rFont val="Calibri"/>
        <family val="2"/>
      </rPr>
      <t xml:space="preserve"> Por espacio no habilitado para rectificar se entiende como aquellos lugares que cuenten con construcciones u modificaciones en su interior. </t>
    </r>
  </si>
  <si>
    <r>
      <t xml:space="preserve">[1] </t>
    </r>
    <r>
      <rPr>
        <sz val="9"/>
        <rFont val="Calibri"/>
        <family val="2"/>
      </rPr>
      <t>Las siguientes provincias pertenecientes a la Región Metropolitana sí cuentan con costo de transporte: Provincia de Maipo, Provincia de Melipilla y Provincia Cordillera.</t>
    </r>
  </si>
  <si>
    <t>COTIZACIÓN Nº</t>
  </si>
  <si>
    <t xml:space="preserve">COTIZACIÓN Nº </t>
  </si>
  <si>
    <t>KAUFMANN CASA MATRIZ PISO 1-3</t>
  </si>
  <si>
    <t>KAUFMANN</t>
  </si>
  <si>
    <t>AV. PAJARITOS 5830-ESTACION CENTRAL</t>
  </si>
  <si>
    <t>NELSON ALTAMIRANO</t>
  </si>
  <si>
    <t>ESTACION CENTRAL</t>
  </si>
  <si>
    <t>CUR25.15070.B</t>
  </si>
  <si>
    <t>CUBIERTA RECTA (25MM)DE 150 X 70 LAMINADO B</t>
  </si>
  <si>
    <t>INT_XXX</t>
  </si>
  <si>
    <t>ESTRUCTURA 3000x1400</t>
  </si>
  <si>
    <t>OH11117</t>
  </si>
  <si>
    <t>KIT BIOMBO TAPIZADO DE 150 X 30 TELA BRATTO</t>
  </si>
  <si>
    <t>CUR25.130120.B</t>
  </si>
  <si>
    <t>CUBIERTA RECTA (25MM)DE 130 X 120 LAMINADO B</t>
  </si>
  <si>
    <t>ESTRUCTURA 2500x1200</t>
  </si>
  <si>
    <t>CUR25.16070.B</t>
  </si>
  <si>
    <t>CUBIERTA RECTA (25MM)DE 160 X 70 LAMINADO B</t>
  </si>
  <si>
    <t>INT1724</t>
  </si>
  <si>
    <t>EST LIGHT 160X70 PF5050 C/PILOTE C/E MDLDBL</t>
  </si>
  <si>
    <t>CUR25.15040.B</t>
  </si>
  <si>
    <r>
      <t xml:space="preserve">CUBIERTA RECTA (25MM)DE 150 X 40 LAMINADO B </t>
    </r>
    <r>
      <rPr>
        <b/>
        <sz val="10"/>
        <rFont val="Montserrat"/>
      </rPr>
      <t>FALDON</t>
    </r>
  </si>
  <si>
    <t>OH10394.M</t>
  </si>
  <si>
    <t xml:space="preserve">GABINETE LATERAL DE  120 X 53 X 62 FULL MELAMINA </t>
  </si>
  <si>
    <t>INT_CAJA1X1</t>
  </si>
  <si>
    <t>CAJA ELECTRICA SIMPLE-SIMPLE (1X1)</t>
  </si>
  <si>
    <t>GBC.905073.B</t>
  </si>
  <si>
    <t>GABINETE BAJO C/CUBIERTA 2 PUERTAS DE 90 X 50 X 73  LAM B</t>
  </si>
  <si>
    <t>OH</t>
  </si>
  <si>
    <r>
      <t xml:space="preserve">LOCKERS 12 PUERTAS </t>
    </r>
    <r>
      <rPr>
        <b/>
        <sz val="10"/>
        <rFont val="Montserrat"/>
      </rPr>
      <t>ACUTALIZAR VALOR</t>
    </r>
  </si>
  <si>
    <t>PG4730144.352</t>
  </si>
  <si>
    <t>SILLA YON (47301)_SINCRO_BRAZO MC AZUL_RESP GRIS_ASTO GRIS</t>
  </si>
  <si>
    <t>DESCUENTO    0</t>
  </si>
  <si>
    <t>SILLA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</si>
</sst>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20" x14ac:knownFonts="1">
    <font>
      <sz val="11"/>
      <color theme="1"/>
      <name val="Calibri"/>
      <family val="2"/>
      <scheme val="minor"/>
    </font>
    <font>
      <sz val="11"/>
      <color theme="1"/>
      <name val="Calibri"/>
      <family val="2"/>
      <scheme val="minor"/>
    </font>
    <font>
      <sz val="11"/>
      <color theme="1"/>
      <name val="Calibri"/>
      <family val="2"/>
    </font>
    <font>
      <sz val="12"/>
      <name val="Calibri"/>
      <family val="2"/>
    </font>
    <font>
      <sz val="11"/>
      <color theme="1"/>
      <name val="Montserrat"/>
    </font>
    <font>
      <b/>
      <sz val="14"/>
      <name val="Montserrat"/>
    </font>
    <font>
      <sz val="10"/>
      <color theme="1"/>
      <name val="Montserrat"/>
    </font>
    <font>
      <b/>
      <sz val="10"/>
      <name val="Montserrat"/>
    </font>
    <font>
      <sz val="10"/>
      <name val="Arial"/>
      <family val="2"/>
    </font>
    <font>
      <sz val="10"/>
      <color theme="1"/>
      <name val="Calibri"/>
      <family val="2"/>
      <scheme val="minor"/>
    </font>
    <font>
      <sz val="10"/>
      <name val="Montserrat"/>
    </font>
    <font>
      <b/>
      <sz val="10"/>
      <color indexed="8"/>
      <name val="Arial"/>
      <family val="2"/>
    </font>
    <font>
      <sz val="12"/>
      <name val="Arial"/>
      <family val="2"/>
    </font>
    <font>
      <b/>
      <u/>
      <sz val="12"/>
      <name val="Arial"/>
      <family val="2"/>
    </font>
    <font>
      <vertAlign val="superscript"/>
      <sz val="6"/>
      <name val="Calibri"/>
      <family val="2"/>
    </font>
    <font>
      <sz val="12"/>
      <color indexed="8"/>
      <name val="Arial"/>
      <family val="2"/>
    </font>
    <font>
      <b/>
      <sz val="12"/>
      <name val="Arial"/>
      <family val="2"/>
    </font>
    <font>
      <sz val="6"/>
      <name val="Calibri"/>
      <family val="2"/>
    </font>
    <font>
      <vertAlign val="superscript"/>
      <sz val="9"/>
      <name val="Calibri"/>
      <family val="2"/>
    </font>
    <font>
      <sz val="9"/>
      <name val="Calibri"/>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2" fontId="1" fillId="0" borderId="0" applyFont="0" applyFill="0" applyBorder="0" applyAlignment="0" applyProtection="0"/>
  </cellStyleXfs>
  <cellXfs count="114">
    <xf numFmtId="0" fontId="0" fillId="0" borderId="0" xfId="0"/>
    <xf numFmtId="0" fontId="0" fillId="2" borderId="0" xfId="0" applyFill="1"/>
    <xf numFmtId="0" fontId="0" fillId="2" borderId="0" xfId="0" applyFill="1" applyAlignment="1">
      <alignment horizontal="center" vertical="center"/>
    </xf>
    <xf numFmtId="42" fontId="0" fillId="2" borderId="0" xfId="1" applyFont="1" applyFill="1"/>
    <xf numFmtId="0" fontId="4" fillId="2" borderId="0" xfId="0" applyFont="1" applyFill="1"/>
    <xf numFmtId="0" fontId="4" fillId="2" borderId="0" xfId="0" applyFont="1" applyFill="1" applyAlignment="1">
      <alignment horizontal="center" vertical="center"/>
    </xf>
    <xf numFmtId="0" fontId="4" fillId="2" borderId="0" xfId="1" applyNumberFormat="1" applyFont="1" applyFill="1" applyAlignment="1">
      <alignment horizontal="center" vertical="center"/>
    </xf>
    <xf numFmtId="42" fontId="4" fillId="2" borderId="0" xfId="1" applyFont="1" applyFill="1"/>
    <xf numFmtId="1" fontId="4" fillId="2" borderId="0" xfId="0" applyNumberFormat="1" applyFont="1" applyFill="1"/>
    <xf numFmtId="0" fontId="4" fillId="2" borderId="8" xfId="0" applyFont="1" applyFill="1" applyBorder="1"/>
    <xf numFmtId="0" fontId="4" fillId="2" borderId="9" xfId="0" applyFont="1" applyFill="1" applyBorder="1"/>
    <xf numFmtId="0" fontId="4" fillId="2" borderId="9" xfId="0" applyFont="1" applyFill="1" applyBorder="1" applyAlignment="1">
      <alignment horizontal="center" vertical="center"/>
    </xf>
    <xf numFmtId="0" fontId="4" fillId="2" borderId="9" xfId="1" applyNumberFormat="1" applyFont="1" applyFill="1" applyBorder="1" applyAlignment="1">
      <alignment horizontal="center" vertical="center"/>
    </xf>
    <xf numFmtId="42" fontId="4" fillId="2" borderId="9" xfId="1" applyFont="1" applyFill="1" applyBorder="1"/>
    <xf numFmtId="0" fontId="4" fillId="2" borderId="10" xfId="0" applyFont="1" applyFill="1" applyBorder="1"/>
    <xf numFmtId="0" fontId="4" fillId="2" borderId="11" xfId="0" applyFont="1" applyFill="1" applyBorder="1"/>
    <xf numFmtId="0" fontId="4" fillId="2" borderId="0" xfId="1" applyNumberFormat="1" applyFont="1" applyFill="1" applyBorder="1" applyAlignment="1">
      <alignment horizontal="center" vertical="center"/>
    </xf>
    <xf numFmtId="42" fontId="4" fillId="2" borderId="0" xfId="1" applyFont="1" applyFill="1" applyBorder="1"/>
    <xf numFmtId="0" fontId="4" fillId="2" borderId="12" xfId="0" applyFont="1" applyFill="1" applyBorder="1"/>
    <xf numFmtId="42" fontId="4" fillId="2" borderId="12" xfId="0" applyNumberFormat="1" applyFont="1" applyFill="1" applyBorder="1"/>
    <xf numFmtId="0" fontId="4" fillId="2" borderId="13" xfId="0" applyFont="1" applyFill="1" applyBorder="1"/>
    <xf numFmtId="0" fontId="4" fillId="2" borderId="14" xfId="0" applyFont="1" applyFill="1" applyBorder="1"/>
    <xf numFmtId="0" fontId="4" fillId="2" borderId="14" xfId="0" applyFont="1" applyFill="1" applyBorder="1" applyAlignment="1">
      <alignment horizontal="center" vertical="center"/>
    </xf>
    <xf numFmtId="0" fontId="4" fillId="2" borderId="14" xfId="1" applyNumberFormat="1" applyFont="1" applyFill="1" applyBorder="1" applyAlignment="1">
      <alignment horizontal="center" vertical="center"/>
    </xf>
    <xf numFmtId="42" fontId="4" fillId="2" borderId="14" xfId="1" applyFont="1" applyFill="1" applyBorder="1"/>
    <xf numFmtId="0" fontId="4" fillId="2" borderId="15" xfId="0" applyFont="1" applyFill="1" applyBorder="1"/>
    <xf numFmtId="0" fontId="5" fillId="2" borderId="0" xfId="0" applyFont="1" applyFill="1" applyAlignment="1">
      <alignment horizontal="center"/>
    </xf>
    <xf numFmtId="0" fontId="0" fillId="2" borderId="12" xfId="0" applyFill="1" applyBorder="1"/>
    <xf numFmtId="0" fontId="0" fillId="0" borderId="12" xfId="0" applyBorder="1"/>
    <xf numFmtId="0" fontId="0" fillId="2" borderId="0" xfId="0" applyFill="1" applyAlignment="1">
      <alignment horizontal="left"/>
    </xf>
    <xf numFmtId="0" fontId="9" fillId="0" borderId="1" xfId="0" applyFont="1" applyBorder="1" applyAlignment="1">
      <alignment horizontal="center"/>
    </xf>
    <xf numFmtId="1" fontId="10" fillId="2" borderId="1" xfId="0" applyNumberFormat="1" applyFont="1" applyFill="1" applyBorder="1" applyAlignment="1">
      <alignment horizontal="left"/>
    </xf>
    <xf numFmtId="1" fontId="10" fillId="2" borderId="1" xfId="0" applyNumberFormat="1" applyFont="1" applyFill="1" applyBorder="1" applyAlignment="1">
      <alignment horizontal="center" vertical="center"/>
    </xf>
    <xf numFmtId="42" fontId="10" fillId="2" borderId="1" xfId="1" applyFont="1" applyFill="1" applyBorder="1" applyAlignment="1">
      <alignment horizontal="right"/>
    </xf>
    <xf numFmtId="42" fontId="10" fillId="2" borderId="1" xfId="1" applyFont="1" applyFill="1" applyBorder="1" applyAlignment="1">
      <alignment horizontal="left"/>
    </xf>
    <xf numFmtId="0" fontId="6" fillId="2" borderId="3" xfId="0" applyFont="1" applyFill="1" applyBorder="1" applyAlignment="1">
      <alignment horizontal="center"/>
    </xf>
    <xf numFmtId="1" fontId="10" fillId="2" borderId="3" xfId="0" applyNumberFormat="1" applyFont="1" applyFill="1" applyBorder="1" applyAlignment="1">
      <alignment horizontal="left" vertical="center"/>
    </xf>
    <xf numFmtId="1" fontId="10" fillId="2" borderId="3" xfId="0" applyNumberFormat="1" applyFont="1" applyFill="1" applyBorder="1" applyAlignment="1">
      <alignment horizontal="center" vertical="center"/>
    </xf>
    <xf numFmtId="42" fontId="10" fillId="2" borderId="3" xfId="1" applyFont="1" applyFill="1" applyBorder="1" applyAlignment="1">
      <alignment horizontal="center" vertical="center"/>
    </xf>
    <xf numFmtId="42" fontId="6" fillId="2" borderId="3" xfId="1" applyFont="1" applyFill="1" applyBorder="1"/>
    <xf numFmtId="0" fontId="6" fillId="2" borderId="1" xfId="0" applyFont="1" applyFill="1" applyBorder="1" applyAlignment="1">
      <alignment horizontal="center"/>
    </xf>
    <xf numFmtId="1" fontId="10" fillId="2" borderId="1" xfId="0" applyNumberFormat="1" applyFont="1" applyFill="1" applyBorder="1" applyAlignment="1">
      <alignment horizontal="left" vertical="center"/>
    </xf>
    <xf numFmtId="42" fontId="10" fillId="2" borderId="1" xfId="1" applyFont="1" applyFill="1" applyBorder="1" applyAlignment="1">
      <alignment horizontal="center" vertical="center"/>
    </xf>
    <xf numFmtId="42" fontId="6" fillId="2" borderId="1" xfId="1" applyFont="1" applyFill="1" applyBorder="1"/>
    <xf numFmtId="0" fontId="6" fillId="2" borderId="0" xfId="0" applyFont="1" applyFill="1"/>
    <xf numFmtId="0" fontId="6" fillId="2" borderId="0" xfId="0" applyFont="1" applyFill="1" applyAlignment="1">
      <alignment horizontal="center" vertical="center"/>
    </xf>
    <xf numFmtId="0" fontId="6" fillId="2" borderId="0" xfId="1" applyNumberFormat="1" applyFont="1" applyFill="1" applyBorder="1" applyAlignment="1">
      <alignment horizontal="center" vertical="center"/>
    </xf>
    <xf numFmtId="42" fontId="6" fillId="2" borderId="1" xfId="1" applyFont="1" applyFill="1" applyBorder="1" applyAlignment="1">
      <alignment horizontal="right"/>
    </xf>
    <xf numFmtId="42" fontId="6" fillId="2" borderId="1" xfId="0" applyNumberFormat="1" applyFont="1" applyFill="1" applyBorder="1" applyAlignment="1">
      <alignment horizontal="right"/>
    </xf>
    <xf numFmtId="42" fontId="6" fillId="2" borderId="0" xfId="1" applyFont="1" applyFill="1" applyBorder="1"/>
    <xf numFmtId="42" fontId="6" fillId="2" borderId="6" xfId="1" applyFont="1" applyFill="1" applyBorder="1"/>
    <xf numFmtId="42" fontId="6" fillId="2" borderId="2" xfId="1" applyFont="1" applyFill="1" applyBorder="1"/>
    <xf numFmtId="42" fontId="6" fillId="2" borderId="4" xfId="1" applyFont="1" applyFill="1" applyBorder="1"/>
    <xf numFmtId="42" fontId="6" fillId="2" borderId="7" xfId="1" applyFont="1" applyFill="1" applyBorder="1"/>
    <xf numFmtId="42" fontId="6" fillId="2" borderId="5" xfId="1" applyFont="1" applyFill="1" applyBorder="1"/>
    <xf numFmtId="0" fontId="8" fillId="3" borderId="0" xfId="0" applyFont="1" applyFill="1"/>
    <xf numFmtId="14" fontId="8" fillId="3" borderId="0" xfId="0" applyNumberFormat="1" applyFont="1" applyFill="1"/>
    <xf numFmtId="14" fontId="8" fillId="3" borderId="0" xfId="0" applyNumberFormat="1" applyFont="1" applyFill="1" applyAlignment="1">
      <alignment horizontal="left"/>
    </xf>
    <xf numFmtId="0" fontId="11" fillId="3" borderId="0" xfId="0" applyFont="1" applyFill="1" applyAlignment="1">
      <alignment horizontal="left" vertical="center"/>
    </xf>
    <xf numFmtId="0" fontId="11" fillId="3" borderId="0" xfId="0" applyFont="1" applyFill="1" applyAlignment="1">
      <alignment vertical="center"/>
    </xf>
    <xf numFmtId="0" fontId="12" fillId="3" borderId="0" xfId="0" applyFont="1" applyFill="1"/>
    <xf numFmtId="0" fontId="12" fillId="3" borderId="0" xfId="0" applyFont="1" applyFill="1" applyAlignment="1">
      <alignment horizontal="center"/>
    </xf>
    <xf numFmtId="0" fontId="13" fillId="3" borderId="0" xfId="0" applyFont="1" applyFill="1" applyAlignment="1">
      <alignment horizontal="left" vertical="center"/>
    </xf>
    <xf numFmtId="0" fontId="15" fillId="3" borderId="0" xfId="0" applyFont="1" applyFill="1" applyAlignment="1">
      <alignment vertical="center" wrapText="1"/>
    </xf>
    <xf numFmtId="0" fontId="12" fillId="3" borderId="0" xfId="0" applyFont="1" applyFill="1" applyAlignment="1">
      <alignment vertical="center" wrapText="1"/>
    </xf>
    <xf numFmtId="0" fontId="14" fillId="0" borderId="0" xfId="0" applyFont="1" applyAlignment="1">
      <alignment vertical="center"/>
    </xf>
    <xf numFmtId="0" fontId="14" fillId="0" borderId="0" xfId="0" applyFont="1"/>
    <xf numFmtId="0" fontId="0" fillId="2" borderId="8" xfId="0" applyFill="1" applyBorder="1"/>
    <xf numFmtId="0" fontId="0" fillId="2" borderId="9" xfId="0" applyFill="1" applyBorder="1"/>
    <xf numFmtId="0" fontId="0" fillId="2" borderId="9" xfId="0" applyFill="1" applyBorder="1" applyAlignment="1">
      <alignment horizontal="left"/>
    </xf>
    <xf numFmtId="42" fontId="0" fillId="2" borderId="9" xfId="1" applyFont="1" applyFill="1" applyBorder="1"/>
    <xf numFmtId="0" fontId="0" fillId="2" borderId="10" xfId="0" applyFill="1" applyBorder="1" applyAlignment="1">
      <alignment horizontal="center" vertical="center"/>
    </xf>
    <xf numFmtId="0" fontId="0" fillId="2" borderId="11" xfId="0" applyFill="1" applyBorder="1"/>
    <xf numFmtId="42" fontId="0" fillId="2" borderId="0" xfId="1" applyFont="1" applyFill="1" applyBorder="1"/>
    <xf numFmtId="0" fontId="0" fillId="2" borderId="12" xfId="0" applyFill="1" applyBorder="1" applyAlignment="1">
      <alignment horizontal="center" vertical="center"/>
    </xf>
    <xf numFmtId="42" fontId="6" fillId="2" borderId="12" xfId="1" applyFont="1" applyFill="1" applyBorder="1"/>
    <xf numFmtId="0" fontId="2" fillId="2" borderId="0" xfId="0" applyFont="1" applyFill="1"/>
    <xf numFmtId="0" fontId="2" fillId="2" borderId="0" xfId="0" applyFont="1" applyFill="1" applyAlignment="1">
      <alignment horizontal="left"/>
    </xf>
    <xf numFmtId="42" fontId="2" fillId="2" borderId="0" xfId="1" applyFont="1" applyFill="1" applyBorder="1"/>
    <xf numFmtId="0" fontId="0" fillId="2" borderId="13" xfId="0" applyFill="1" applyBorder="1"/>
    <xf numFmtId="0" fontId="0" fillId="2" borderId="14" xfId="0" applyFill="1" applyBorder="1"/>
    <xf numFmtId="0" fontId="0" fillId="2" borderId="14" xfId="0" applyFill="1" applyBorder="1" applyAlignment="1">
      <alignment horizontal="left"/>
    </xf>
    <xf numFmtId="42" fontId="0" fillId="2" borderId="14" xfId="1" applyFont="1" applyFill="1" applyBorder="1"/>
    <xf numFmtId="0" fontId="0" fillId="2" borderId="15" xfId="0" applyFill="1" applyBorder="1" applyAlignment="1">
      <alignment horizontal="center" vertical="center"/>
    </xf>
    <xf numFmtId="0" fontId="5" fillId="2" borderId="0" xfId="0" applyFont="1" applyFill="1"/>
    <xf numFmtId="0" fontId="5" fillId="2" borderId="12" xfId="0" applyFont="1" applyFill="1" applyBorder="1"/>
    <xf numFmtId="0" fontId="4" fillId="2" borderId="0" xfId="0" applyFont="1" applyFill="1" applyAlignment="1">
      <alignment horizontal="left" vertical="center"/>
    </xf>
    <xf numFmtId="0" fontId="4" fillId="2" borderId="0" xfId="0" applyFont="1" applyFill="1" applyAlignment="1">
      <alignment horizontal="center"/>
    </xf>
    <xf numFmtId="0" fontId="4" fillId="2" borderId="9" xfId="0" applyFont="1" applyFill="1" applyBorder="1" applyAlignment="1">
      <alignment horizontal="center"/>
    </xf>
    <xf numFmtId="0" fontId="11" fillId="3" borderId="0" xfId="0" applyFont="1" applyFill="1" applyAlignment="1">
      <alignment horizontal="center" vertical="center"/>
    </xf>
    <xf numFmtId="0" fontId="6" fillId="2" borderId="0" xfId="0" applyFont="1" applyFill="1" applyAlignment="1">
      <alignment horizontal="center"/>
    </xf>
    <xf numFmtId="0" fontId="4" fillId="2" borderId="14" xfId="0" applyFont="1" applyFill="1" applyBorder="1" applyAlignment="1">
      <alignment horizontal="center"/>
    </xf>
    <xf numFmtId="0" fontId="18" fillId="0" borderId="0" xfId="0" applyFont="1" applyAlignment="1">
      <alignment vertical="center"/>
    </xf>
    <xf numFmtId="0" fontId="18" fillId="0" borderId="0" xfId="0" applyFont="1"/>
    <xf numFmtId="1" fontId="10" fillId="0" borderId="1" xfId="0" applyNumberFormat="1" applyFont="1" applyBorder="1" applyAlignment="1">
      <alignment horizontal="left" vertical="center"/>
    </xf>
    <xf numFmtId="1" fontId="10" fillId="0" borderId="1" xfId="0" applyNumberFormat="1" applyFont="1" applyBorder="1" applyAlignment="1">
      <alignment horizontal="center" vertical="center"/>
    </xf>
    <xf numFmtId="42" fontId="10" fillId="0" borderId="1" xfId="1" applyFont="1" applyFill="1" applyBorder="1" applyAlignment="1">
      <alignment horizontal="center" vertical="center"/>
    </xf>
    <xf numFmtId="0" fontId="6" fillId="4" borderId="2" xfId="0" applyFont="1" applyFill="1" applyBorder="1" applyAlignment="1">
      <alignment horizontal="center"/>
    </xf>
    <xf numFmtId="0" fontId="6" fillId="4" borderId="2" xfId="0" applyFont="1" applyFill="1" applyBorder="1"/>
    <xf numFmtId="0" fontId="6" fillId="4" borderId="1" xfId="0" applyFont="1" applyFill="1" applyBorder="1" applyAlignment="1">
      <alignment horizontal="center"/>
    </xf>
    <xf numFmtId="0" fontId="6" fillId="4" borderId="1" xfId="0" applyFont="1" applyFill="1" applyBorder="1"/>
    <xf numFmtId="1" fontId="10" fillId="2" borderId="1" xfId="0" applyNumberFormat="1" applyFont="1" applyFill="1" applyBorder="1" applyAlignment="1">
      <alignment vertical="center"/>
    </xf>
    <xf numFmtId="42" fontId="10" fillId="2" borderId="1" xfId="1" applyFont="1" applyFill="1" applyBorder="1" applyAlignment="1">
      <alignment vertical="center"/>
    </xf>
    <xf numFmtId="42" fontId="6" fillId="2" borderId="0" xfId="1" applyFont="1" applyFill="1" applyBorder="1" applyAlignment="1">
      <alignment horizontal="center" vertical="center"/>
    </xf>
    <xf numFmtId="14" fontId="7" fillId="2" borderId="0" xfId="0" applyNumberFormat="1" applyFont="1" applyFill="1" applyAlignment="1">
      <alignment horizontal="center" vertical="center"/>
    </xf>
    <xf numFmtId="0" fontId="5" fillId="4" borderId="1" xfId="0" applyFont="1" applyFill="1" applyBorder="1" applyAlignment="1">
      <alignment horizontal="center"/>
    </xf>
    <xf numFmtId="0" fontId="16" fillId="3" borderId="0" xfId="0" applyFont="1" applyFill="1" applyAlignment="1">
      <alignment horizontal="left" vertical="center"/>
    </xf>
    <xf numFmtId="0" fontId="15" fillId="3" borderId="0" xfId="0" applyFont="1" applyFill="1" applyAlignment="1">
      <alignment horizontal="left" vertical="center" wrapText="1"/>
    </xf>
    <xf numFmtId="1" fontId="3" fillId="2" borderId="0" xfId="0" applyNumberFormat="1" applyFont="1" applyFill="1" applyAlignment="1">
      <alignment horizontal="center" vertical="center"/>
    </xf>
    <xf numFmtId="0" fontId="8" fillId="3" borderId="0" xfId="0" applyFont="1" applyFill="1" applyAlignment="1">
      <alignment horizontal="left"/>
    </xf>
    <xf numFmtId="0" fontId="16" fillId="3" borderId="0" xfId="0" applyFont="1" applyFill="1" applyAlignment="1">
      <alignment horizontal="left" vertical="center" wrapText="1"/>
    </xf>
    <xf numFmtId="0" fontId="12" fillId="3" borderId="0" xfId="0" applyFont="1" applyFill="1" applyAlignment="1">
      <alignment horizontal="left" vertical="center" wrapText="1"/>
    </xf>
    <xf numFmtId="1" fontId="8" fillId="3" borderId="0" xfId="0" applyNumberFormat="1" applyFont="1" applyFill="1" applyAlignment="1">
      <alignment horizontal="left"/>
    </xf>
    <xf numFmtId="0" fontId="15" fillId="3" borderId="0" xfId="0" applyFont="1" applyFill="1" applyAlignment="1">
      <alignment vertical="center" wrapText="1"/>
    </xf>
  </cellXfs>
  <cellStyles count="2">
    <cellStyle name="Moneda [0]" xfId="1" builtinId="7"/>
    <cellStyle name="Normal" xfId="0" builtinId="0"/>
  </cellStyles>
  <dxfs count="3">
    <dxf>
      <font>
        <color rgb="FF00B050"/>
      </font>
    </dxf>
    <dxf>
      <font>
        <color rgb="FFFF0000"/>
      </font>
    </dxf>
    <dxf>
      <font>
        <color rgb="FFFF0000"/>
      </font>
    </dxf>
  </dxfs>
  <tableStyles count="0" defaultTableStyle="TableStyleMedium2" defaultPivotStyle="PivotStyleLight16"/>
  <colors>
    <mruColors>
      <color rgb="FF89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215265</xdr:colOff>
      <xdr:row>1</xdr:row>
      <xdr:rowOff>104775</xdr:rowOff>
    </xdr:from>
    <xdr:to>
      <xdr:col>3</xdr:col>
      <xdr:colOff>1266825</xdr:colOff>
      <xdr:row>4</xdr:row>
      <xdr:rowOff>114300</xdr:rowOff>
    </xdr:to>
    <xdr:pic>
      <xdr:nvPicPr>
        <xdr:cNvPr id="2" name="Imagen 1" descr="Imagen que contiene Logotipo&#10;&#10;Descripción generada automáticamente">
          <a:extLst>
            <a:ext uri="{FF2B5EF4-FFF2-40B4-BE49-F238E27FC236}">
              <a16:creationId xmlns:a16="http://schemas.microsoft.com/office/drawing/2014/main" id="{837660D7-F271-4A63-AC01-32B23E7393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6790" y="304800"/>
          <a:ext cx="1718310" cy="590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274320</xdr:colOff>
      <xdr:row>1</xdr:row>
      <xdr:rowOff>152400</xdr:rowOff>
    </xdr:from>
    <xdr:to>
      <xdr:col>4</xdr:col>
      <xdr:colOff>343958</xdr:colOff>
      <xdr:row>4</xdr:row>
      <xdr:rowOff>89535</xdr:rowOff>
    </xdr:to>
    <xdr:pic>
      <xdr:nvPicPr>
        <xdr:cNvPr id="3" name="Imagen 2" descr="Imagen que contiene Logotipo&#10;&#10;Descripción generada automáticamente">
          <a:extLst>
            <a:ext uri="{FF2B5EF4-FFF2-40B4-BE49-F238E27FC236}">
              <a16:creationId xmlns:a16="http://schemas.microsoft.com/office/drawing/2014/main" id="{84697A28-69E2-D5F0-E7A3-F5F0BBF409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0" y="419100"/>
          <a:ext cx="1724025" cy="7143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E89A-254D-4AEA-9857-9E491CBF5427}">
  <sheetPr>
    <tabColor theme="8" tint="0.79998168889431442"/>
    <pageSetUpPr fitToPage="1"/>
  </sheetPr>
  <dimension ref="B1:L63"/>
  <sheetViews>
    <sheetView tabSelected="1" topLeftCell="A10" workbookViewId="0">
      <selection activeCell="F33" sqref="F33"/>
    </sheetView>
  </sheetViews>
  <sheetFormatPr baseColWidth="10" defaultColWidth="11.5703125" defaultRowHeight="15" x14ac:dyDescent="0.25"/>
  <cols>
    <col min="1" max="1" width="11.5703125" style="1"/>
    <col min="2" max="2" width="3.28515625" style="1" customWidth="1"/>
    <col min="3" max="3" width="6.7109375" style="1" bestFit="1" customWidth="1"/>
    <col min="4" max="4" width="23.28515625" style="29" bestFit="1" customWidth="1"/>
    <col min="5" max="5" width="70.5703125" style="1" bestFit="1" customWidth="1"/>
    <col min="6" max="6" width="18.7109375" style="1" customWidth="1"/>
    <col min="7" max="7" width="20.7109375" style="3" bestFit="1" customWidth="1"/>
    <col min="8" max="8" width="14.42578125" style="3" bestFit="1" customWidth="1"/>
    <col min="9" max="9" width="4.85546875" style="2" customWidth="1"/>
    <col min="10" max="10" width="15.28515625" style="3" bestFit="1" customWidth="1"/>
    <col min="11" max="16384" width="11.5703125" style="1"/>
  </cols>
  <sheetData>
    <row r="1" spans="2:11" ht="15.75" thickBot="1" x14ac:dyDescent="0.3"/>
    <row r="2" spans="2:11" x14ac:dyDescent="0.25">
      <c r="B2" s="67"/>
      <c r="C2" s="68"/>
      <c r="D2" s="69"/>
      <c r="E2" s="68"/>
      <c r="F2" s="68"/>
      <c r="G2" s="70"/>
      <c r="H2" s="70"/>
      <c r="I2" s="71"/>
    </row>
    <row r="3" spans="2:11" ht="15.75" customHeight="1" x14ac:dyDescent="0.25">
      <c r="B3" s="72"/>
      <c r="G3" s="103" t="s">
        <v>21</v>
      </c>
      <c r="H3" s="104">
        <v>45328</v>
      </c>
      <c r="I3" s="74"/>
    </row>
    <row r="4" spans="2:11" x14ac:dyDescent="0.25">
      <c r="B4" s="72"/>
      <c r="G4" s="103"/>
      <c r="H4" s="104"/>
      <c r="I4" s="74"/>
    </row>
    <row r="5" spans="2:11" x14ac:dyDescent="0.25">
      <c r="B5" s="72"/>
      <c r="G5" s="73"/>
      <c r="H5" s="73"/>
      <c r="I5" s="74"/>
    </row>
    <row r="6" spans="2:11" ht="21.75" x14ac:dyDescent="0.4">
      <c r="B6" s="72"/>
      <c r="C6" s="105" t="s">
        <v>52</v>
      </c>
      <c r="D6" s="105"/>
      <c r="E6" s="105"/>
      <c r="F6" s="105"/>
      <c r="G6" s="105"/>
      <c r="H6" s="105"/>
      <c r="I6" s="85"/>
      <c r="J6" s="84"/>
      <c r="K6" s="84"/>
    </row>
    <row r="7" spans="2:11" x14ac:dyDescent="0.25">
      <c r="B7" s="72"/>
      <c r="G7" s="73"/>
      <c r="H7" s="73"/>
      <c r="I7" s="74"/>
    </row>
    <row r="8" spans="2:11" ht="15.75" x14ac:dyDescent="0.3">
      <c r="B8" s="72"/>
      <c r="C8" s="58" t="s">
        <v>9</v>
      </c>
      <c r="D8" s="58"/>
      <c r="E8" s="55" t="s">
        <v>53</v>
      </c>
      <c r="F8" s="59" t="s">
        <v>31</v>
      </c>
      <c r="G8" s="109"/>
      <c r="H8" s="109"/>
      <c r="I8" s="75"/>
    </row>
    <row r="9" spans="2:11" ht="15.75" x14ac:dyDescent="0.3">
      <c r="B9" s="72"/>
      <c r="C9" s="58" t="s">
        <v>10</v>
      </c>
      <c r="D9" s="58"/>
      <c r="E9" s="55" t="s">
        <v>54</v>
      </c>
      <c r="F9" s="59" t="s">
        <v>16</v>
      </c>
      <c r="G9" s="55" t="s">
        <v>57</v>
      </c>
      <c r="H9" s="1"/>
      <c r="I9" s="75"/>
    </row>
    <row r="10" spans="2:11" ht="15.75" x14ac:dyDescent="0.3">
      <c r="B10" s="72"/>
      <c r="C10" s="58" t="s">
        <v>11</v>
      </c>
      <c r="D10" s="58"/>
      <c r="E10" s="55" t="s">
        <v>55</v>
      </c>
      <c r="F10" s="59" t="s">
        <v>17</v>
      </c>
      <c r="G10" s="55" t="s">
        <v>20</v>
      </c>
      <c r="H10" s="1"/>
      <c r="I10" s="75"/>
    </row>
    <row r="11" spans="2:11" ht="15.75" x14ac:dyDescent="0.3">
      <c r="B11" s="72"/>
      <c r="C11" s="58" t="s">
        <v>14</v>
      </c>
      <c r="D11" s="58"/>
      <c r="E11" s="55" t="s">
        <v>15</v>
      </c>
      <c r="F11" s="59" t="s">
        <v>18</v>
      </c>
      <c r="G11" s="109" t="s">
        <v>48</v>
      </c>
      <c r="H11" s="109"/>
      <c r="I11" s="75"/>
    </row>
    <row r="12" spans="2:11" ht="15.75" x14ac:dyDescent="0.3">
      <c r="B12" s="72"/>
      <c r="C12" s="58" t="s">
        <v>12</v>
      </c>
      <c r="D12" s="58"/>
      <c r="E12" s="55" t="s">
        <v>56</v>
      </c>
      <c r="F12" s="59" t="s">
        <v>19</v>
      </c>
      <c r="G12" s="55" t="s">
        <v>47</v>
      </c>
      <c r="H12" s="1"/>
      <c r="I12" s="75"/>
    </row>
    <row r="13" spans="2:11" ht="15.75" x14ac:dyDescent="0.3">
      <c r="B13" s="72"/>
      <c r="C13" s="58" t="s">
        <v>13</v>
      </c>
      <c r="D13" s="58"/>
      <c r="E13" s="57">
        <v>45355</v>
      </c>
      <c r="G13" s="46"/>
      <c r="H13" s="49"/>
      <c r="I13" s="75"/>
    </row>
    <row r="14" spans="2:11" x14ac:dyDescent="0.25">
      <c r="B14" s="72"/>
      <c r="G14" s="73"/>
      <c r="H14" s="73"/>
      <c r="I14" s="74"/>
    </row>
    <row r="15" spans="2:11" ht="15.75" x14ac:dyDescent="0.3">
      <c r="B15" s="72"/>
      <c r="C15" s="99" t="s">
        <v>0</v>
      </c>
      <c r="D15" s="99" t="s">
        <v>1</v>
      </c>
      <c r="E15" s="100" t="s">
        <v>2</v>
      </c>
      <c r="F15" s="100" t="s">
        <v>3</v>
      </c>
      <c r="G15" s="99" t="s">
        <v>25</v>
      </c>
      <c r="H15" s="99" t="s">
        <v>4</v>
      </c>
      <c r="I15" s="74"/>
    </row>
    <row r="16" spans="2:11" ht="15.75" x14ac:dyDescent="0.3">
      <c r="B16" s="72"/>
      <c r="C16" s="37">
        <v>3</v>
      </c>
      <c r="D16" s="31" t="s">
        <v>58</v>
      </c>
      <c r="E16" s="41" t="s">
        <v>59</v>
      </c>
      <c r="F16" s="32">
        <v>12</v>
      </c>
      <c r="G16" s="42">
        <v>139000</v>
      </c>
      <c r="H16" s="38">
        <f t="shared" ref="H16:H18" si="0">+G16*F16</f>
        <v>1668000</v>
      </c>
      <c r="I16" s="74"/>
    </row>
    <row r="17" spans="2:9" ht="15.75" x14ac:dyDescent="0.3">
      <c r="B17" s="72"/>
      <c r="C17" s="37">
        <v>5</v>
      </c>
      <c r="D17" s="31" t="s">
        <v>60</v>
      </c>
      <c r="E17" s="41" t="s">
        <v>61</v>
      </c>
      <c r="F17" s="32">
        <v>3</v>
      </c>
      <c r="G17" s="42"/>
      <c r="H17" s="38">
        <f t="shared" si="0"/>
        <v>0</v>
      </c>
      <c r="I17" s="74"/>
    </row>
    <row r="18" spans="2:9" ht="15.75" x14ac:dyDescent="0.3">
      <c r="B18" s="72"/>
      <c r="C18" s="37">
        <v>6</v>
      </c>
      <c r="D18" s="31" t="s">
        <v>62</v>
      </c>
      <c r="E18" s="41" t="s">
        <v>63</v>
      </c>
      <c r="F18" s="32">
        <f>2*F17</f>
        <v>6</v>
      </c>
      <c r="G18" s="33">
        <v>192000</v>
      </c>
      <c r="H18" s="38">
        <f t="shared" si="0"/>
        <v>1152000</v>
      </c>
      <c r="I18" s="74"/>
    </row>
    <row r="19" spans="2:9" ht="15.75" x14ac:dyDescent="0.3">
      <c r="B19" s="72"/>
      <c r="C19" s="37">
        <v>7.3</v>
      </c>
      <c r="D19" s="31" t="s">
        <v>58</v>
      </c>
      <c r="E19" s="41" t="s">
        <v>59</v>
      </c>
      <c r="F19" s="32">
        <f>6*F20</f>
        <v>24</v>
      </c>
      <c r="G19" s="42">
        <v>139000</v>
      </c>
      <c r="H19" s="38">
        <f t="shared" ref="H19:H21" si="1">+G19*F19</f>
        <v>3336000</v>
      </c>
      <c r="I19" s="74"/>
    </row>
    <row r="20" spans="2:9" ht="15.75" x14ac:dyDescent="0.3">
      <c r="B20" s="72"/>
      <c r="C20" s="37">
        <v>8.6</v>
      </c>
      <c r="D20" s="31" t="s">
        <v>60</v>
      </c>
      <c r="E20" s="41" t="s">
        <v>61</v>
      </c>
      <c r="F20" s="32">
        <v>4</v>
      </c>
      <c r="G20" s="42"/>
      <c r="H20" s="38">
        <f t="shared" si="1"/>
        <v>0</v>
      </c>
      <c r="I20" s="74"/>
    </row>
    <row r="21" spans="2:9" ht="15.75" x14ac:dyDescent="0.3">
      <c r="B21" s="72"/>
      <c r="C21" s="37">
        <v>9.9</v>
      </c>
      <c r="D21" s="31" t="s">
        <v>62</v>
      </c>
      <c r="E21" s="41" t="s">
        <v>63</v>
      </c>
      <c r="F21" s="32">
        <f>3*F20</f>
        <v>12</v>
      </c>
      <c r="G21" s="33">
        <v>192000</v>
      </c>
      <c r="H21" s="38">
        <f t="shared" si="1"/>
        <v>2304000</v>
      </c>
      <c r="I21" s="74"/>
    </row>
    <row r="22" spans="2:9" ht="15.75" x14ac:dyDescent="0.3">
      <c r="B22" s="72"/>
      <c r="C22" s="37">
        <v>11.2</v>
      </c>
      <c r="D22" s="31" t="s">
        <v>64</v>
      </c>
      <c r="E22" s="41" t="s">
        <v>65</v>
      </c>
      <c r="F22" s="32">
        <v>2</v>
      </c>
      <c r="G22" s="42">
        <v>162000</v>
      </c>
      <c r="H22" s="38">
        <f>+G22*F22</f>
        <v>324000</v>
      </c>
      <c r="I22" s="74"/>
    </row>
    <row r="23" spans="2:9" ht="15.75" x14ac:dyDescent="0.3">
      <c r="B23" s="72"/>
      <c r="C23" s="37">
        <v>12.5</v>
      </c>
      <c r="D23" s="31" t="s">
        <v>60</v>
      </c>
      <c r="E23" s="41" t="s">
        <v>66</v>
      </c>
      <c r="F23" s="32">
        <v>1</v>
      </c>
      <c r="G23" s="42">
        <v>0</v>
      </c>
      <c r="H23" s="38">
        <f t="shared" ref="H23:H36" si="2">+G23*F23</f>
        <v>0</v>
      </c>
      <c r="I23" s="74"/>
    </row>
    <row r="24" spans="2:9" ht="15.75" x14ac:dyDescent="0.3">
      <c r="B24" s="72"/>
      <c r="C24" s="37">
        <v>21.6</v>
      </c>
      <c r="D24" s="31" t="s">
        <v>67</v>
      </c>
      <c r="E24" s="41" t="s">
        <v>68</v>
      </c>
      <c r="F24" s="32">
        <v>2</v>
      </c>
      <c r="G24" s="42">
        <v>238000</v>
      </c>
      <c r="H24" s="38">
        <f t="shared" si="2"/>
        <v>476000</v>
      </c>
      <c r="I24" s="74"/>
    </row>
    <row r="25" spans="2:9" ht="15.75" x14ac:dyDescent="0.3">
      <c r="B25" s="72"/>
      <c r="C25" s="37">
        <v>22.9</v>
      </c>
      <c r="D25" s="31" t="s">
        <v>69</v>
      </c>
      <c r="E25" s="41" t="s">
        <v>70</v>
      </c>
      <c r="F25" s="32">
        <f>F24</f>
        <v>2</v>
      </c>
      <c r="G25" s="42">
        <v>188600</v>
      </c>
      <c r="H25" s="38">
        <f t="shared" si="2"/>
        <v>377200</v>
      </c>
      <c r="I25" s="74"/>
    </row>
    <row r="26" spans="2:9" ht="15.75" x14ac:dyDescent="0.3">
      <c r="B26" s="72"/>
      <c r="C26" s="37">
        <v>24.2</v>
      </c>
      <c r="D26" s="31" t="s">
        <v>71</v>
      </c>
      <c r="E26" s="41" t="s">
        <v>72</v>
      </c>
      <c r="F26" s="32">
        <v>2</v>
      </c>
      <c r="G26" s="42">
        <v>68000</v>
      </c>
      <c r="H26" s="38">
        <f t="shared" si="2"/>
        <v>136000</v>
      </c>
      <c r="I26" s="74"/>
    </row>
    <row r="27" spans="2:9" ht="15.75" x14ac:dyDescent="0.3">
      <c r="B27" s="72"/>
      <c r="C27" s="37">
        <v>25.5</v>
      </c>
      <c r="D27" s="31" t="s">
        <v>73</v>
      </c>
      <c r="E27" s="41" t="s">
        <v>74</v>
      </c>
      <c r="F27" s="32">
        <v>2</v>
      </c>
      <c r="G27" s="42">
        <v>402000</v>
      </c>
      <c r="H27" s="38">
        <f t="shared" si="2"/>
        <v>804000</v>
      </c>
      <c r="I27" s="74"/>
    </row>
    <row r="28" spans="2:9" ht="15.75" x14ac:dyDescent="0.3">
      <c r="B28" s="72"/>
      <c r="C28" s="37">
        <v>26.8</v>
      </c>
      <c r="D28" s="31" t="s">
        <v>75</v>
      </c>
      <c r="E28" s="41" t="s">
        <v>76</v>
      </c>
      <c r="F28" s="32">
        <v>2</v>
      </c>
      <c r="G28" s="42">
        <v>44200</v>
      </c>
      <c r="H28" s="38">
        <f t="shared" si="2"/>
        <v>88400</v>
      </c>
      <c r="I28" s="74"/>
    </row>
    <row r="29" spans="2:9" ht="15.75" x14ac:dyDescent="0.3">
      <c r="B29" s="72"/>
      <c r="C29" s="37">
        <v>28.1</v>
      </c>
      <c r="D29" s="31" t="s">
        <v>77</v>
      </c>
      <c r="E29" s="94" t="s">
        <v>78</v>
      </c>
      <c r="F29" s="95">
        <v>4</v>
      </c>
      <c r="G29" s="96">
        <v>278000</v>
      </c>
      <c r="H29" s="38">
        <f t="shared" si="2"/>
        <v>1112000</v>
      </c>
      <c r="I29" s="74"/>
    </row>
    <row r="30" spans="2:9" ht="15.75" x14ac:dyDescent="0.3">
      <c r="B30" s="72"/>
      <c r="C30" s="37">
        <v>30.7</v>
      </c>
      <c r="D30" s="31" t="s">
        <v>79</v>
      </c>
      <c r="E30" s="94" t="s">
        <v>80</v>
      </c>
      <c r="F30" s="95">
        <v>3</v>
      </c>
      <c r="G30" s="96"/>
      <c r="H30" s="38">
        <f t="shared" si="2"/>
        <v>0</v>
      </c>
      <c r="I30" s="74"/>
    </row>
    <row r="31" spans="2:9" ht="15.75" x14ac:dyDescent="0.3">
      <c r="B31" s="72"/>
      <c r="C31" s="37">
        <v>32</v>
      </c>
      <c r="D31" s="31" t="s">
        <v>81</v>
      </c>
      <c r="E31" s="41" t="s">
        <v>82</v>
      </c>
      <c r="F31" s="32">
        <v>46</v>
      </c>
      <c r="G31" s="42">
        <v>421000</v>
      </c>
      <c r="H31" s="38">
        <f t="shared" si="2"/>
        <v>19366000</v>
      </c>
      <c r="I31" s="74"/>
    </row>
    <row r="32" spans="2:9" ht="15.75" x14ac:dyDescent="0.3">
      <c r="B32" s="72"/>
      <c r="C32" s="37">
        <v>33.299999999999997</v>
      </c>
      <c r="D32" s="31"/>
      <c r="E32" s="41" t="s">
        <v>84</v>
      </c>
      <c r="F32" s="32">
        <v>4</v>
      </c>
      <c r="G32" s="42"/>
      <c r="H32" s="38">
        <f t="shared" si="2"/>
        <v>0</v>
      </c>
      <c r="I32" s="74"/>
    </row>
    <row r="33" spans="2:12" ht="15.75" x14ac:dyDescent="0.3">
      <c r="B33" s="72"/>
      <c r="C33" s="37">
        <v>34.6</v>
      </c>
      <c r="D33" s="31"/>
      <c r="E33" s="41"/>
      <c r="F33" s="32"/>
      <c r="G33" s="42"/>
      <c r="H33" s="38">
        <f t="shared" si="2"/>
        <v>0</v>
      </c>
      <c r="I33" s="74"/>
    </row>
    <row r="34" spans="2:12" ht="15.75" x14ac:dyDescent="0.3">
      <c r="B34" s="72"/>
      <c r="C34" s="37">
        <v>35.9</v>
      </c>
      <c r="D34" s="31"/>
      <c r="E34" s="41"/>
      <c r="F34" s="32"/>
      <c r="G34" s="42"/>
      <c r="H34" s="38">
        <f t="shared" si="2"/>
        <v>0</v>
      </c>
      <c r="I34" s="74"/>
    </row>
    <row r="35" spans="2:12" ht="15.75" x14ac:dyDescent="0.3">
      <c r="B35" s="72"/>
      <c r="C35" s="37">
        <v>37.200000000000003</v>
      </c>
      <c r="D35" s="31"/>
      <c r="E35" s="41"/>
      <c r="F35" s="32"/>
      <c r="G35" s="42"/>
      <c r="H35" s="38">
        <f t="shared" si="2"/>
        <v>0</v>
      </c>
      <c r="I35" s="74"/>
    </row>
    <row r="36" spans="2:12" ht="15.75" x14ac:dyDescent="0.3">
      <c r="B36" s="72"/>
      <c r="C36" s="37">
        <v>38.5</v>
      </c>
      <c r="D36" s="31"/>
      <c r="E36" s="41"/>
      <c r="F36" s="32"/>
      <c r="G36" s="42"/>
      <c r="H36" s="38">
        <f t="shared" si="2"/>
        <v>0</v>
      </c>
      <c r="I36" s="74"/>
    </row>
    <row r="37" spans="2:12" ht="15.75" x14ac:dyDescent="0.25">
      <c r="B37" s="72"/>
      <c r="C37" s="108"/>
      <c r="D37" s="108"/>
      <c r="E37" s="108"/>
      <c r="F37" s="108"/>
      <c r="G37" s="42" t="s">
        <v>4</v>
      </c>
      <c r="H37" s="42">
        <f>SUM(H16:H36)</f>
        <v>31143600</v>
      </c>
      <c r="I37" s="74"/>
    </row>
    <row r="38" spans="2:12" x14ac:dyDescent="0.25">
      <c r="B38" s="72"/>
      <c r="C38" s="76"/>
      <c r="D38" s="77"/>
      <c r="E38" s="76"/>
      <c r="F38" s="76"/>
      <c r="G38" s="78"/>
      <c r="H38" s="78"/>
      <c r="I38" s="74"/>
    </row>
    <row r="39" spans="2:12" x14ac:dyDescent="0.25">
      <c r="B39" s="72"/>
      <c r="C39" s="76"/>
      <c r="D39" s="77"/>
      <c r="E39" s="76"/>
      <c r="F39" s="76"/>
      <c r="G39" s="42" t="s">
        <v>83</v>
      </c>
      <c r="H39" s="42">
        <f>+H37*0%</f>
        <v>0</v>
      </c>
      <c r="I39" s="74"/>
    </row>
    <row r="40" spans="2:12" x14ac:dyDescent="0.25">
      <c r="B40" s="72"/>
      <c r="C40" s="76"/>
      <c r="D40" s="77"/>
      <c r="E40" s="76"/>
      <c r="F40" s="76"/>
      <c r="G40" s="42" t="s">
        <v>5</v>
      </c>
      <c r="H40" s="42">
        <f>+H37-H39</f>
        <v>31143600</v>
      </c>
      <c r="I40" s="74"/>
    </row>
    <row r="41" spans="2:12" x14ac:dyDescent="0.25">
      <c r="B41" s="72"/>
      <c r="C41" s="76"/>
      <c r="D41" s="77"/>
      <c r="E41" s="76"/>
      <c r="F41" s="76"/>
      <c r="G41" s="42" t="s">
        <v>30</v>
      </c>
      <c r="H41" s="42">
        <f>+H40*4%</f>
        <v>1245744</v>
      </c>
      <c r="I41" s="74"/>
    </row>
    <row r="42" spans="2:12" x14ac:dyDescent="0.25">
      <c r="B42" s="72"/>
      <c r="C42" s="76"/>
      <c r="D42" s="77"/>
      <c r="E42" s="76"/>
      <c r="F42" s="76"/>
      <c r="G42" s="42" t="s">
        <v>28</v>
      </c>
      <c r="H42" s="42">
        <f>+H40*3%</f>
        <v>934308</v>
      </c>
      <c r="I42" s="74"/>
    </row>
    <row r="43" spans="2:12" x14ac:dyDescent="0.25">
      <c r="B43" s="72"/>
      <c r="C43" s="76"/>
      <c r="D43" s="77"/>
      <c r="E43" s="76"/>
      <c r="F43" s="76"/>
      <c r="G43" s="42" t="s">
        <v>6</v>
      </c>
      <c r="H43" s="42">
        <f>+H42+H41+H40</f>
        <v>33323652</v>
      </c>
      <c r="I43" s="74"/>
    </row>
    <row r="44" spans="2:12" x14ac:dyDescent="0.25">
      <c r="B44" s="72"/>
      <c r="C44" s="76"/>
      <c r="D44" s="77"/>
      <c r="E44" s="76"/>
      <c r="F44" s="76"/>
      <c r="G44" s="42" t="s">
        <v>7</v>
      </c>
      <c r="H44" s="42">
        <f>+H43*19%</f>
        <v>6331493.8799999999</v>
      </c>
      <c r="I44" s="74"/>
    </row>
    <row r="45" spans="2:12" x14ac:dyDescent="0.25">
      <c r="B45" s="72"/>
      <c r="C45" s="76"/>
      <c r="D45" s="77"/>
      <c r="E45" s="76"/>
      <c r="F45" s="76"/>
      <c r="G45" s="42" t="s">
        <v>8</v>
      </c>
      <c r="H45" s="42">
        <f>+H44+H43</f>
        <v>39655145.880000003</v>
      </c>
      <c r="I45" s="74"/>
    </row>
    <row r="46" spans="2:12" ht="15.75" thickBot="1" x14ac:dyDescent="0.3">
      <c r="B46" s="79"/>
      <c r="C46" s="80"/>
      <c r="D46" s="81"/>
      <c r="E46" s="80"/>
      <c r="F46" s="80"/>
      <c r="G46" s="82"/>
      <c r="H46" s="82"/>
      <c r="I46" s="83"/>
    </row>
    <row r="48" spans="2:12" s="4" customFormat="1" ht="18" x14ac:dyDescent="0.35">
      <c r="B48" s="62" t="s">
        <v>32</v>
      </c>
      <c r="C48" s="60"/>
      <c r="D48" s="60"/>
      <c r="E48" s="60"/>
      <c r="F48" s="60"/>
      <c r="G48" s="60"/>
      <c r="H48" s="60"/>
      <c r="I48" s="60"/>
      <c r="J48" s="60"/>
      <c r="K48" s="60"/>
      <c r="L48" s="60"/>
    </row>
    <row r="49" spans="2:12" s="4" customFormat="1" ht="18" x14ac:dyDescent="0.35">
      <c r="B49" s="106" t="s">
        <v>33</v>
      </c>
      <c r="C49" s="106"/>
      <c r="D49" s="106"/>
      <c r="E49" s="106"/>
      <c r="F49" s="106"/>
      <c r="G49" s="106"/>
      <c r="H49" s="106"/>
      <c r="I49" s="106"/>
      <c r="J49" s="106"/>
      <c r="K49" s="106"/>
      <c r="L49" s="60"/>
    </row>
    <row r="50" spans="2:12" s="4" customFormat="1" ht="69.599999999999994" customHeight="1" x14ac:dyDescent="0.35">
      <c r="B50" s="107" t="s">
        <v>34</v>
      </c>
      <c r="C50" s="107"/>
      <c r="D50" s="107"/>
      <c r="E50" s="107"/>
      <c r="F50" s="107"/>
      <c r="G50" s="107"/>
      <c r="H50" s="107"/>
      <c r="I50" s="107"/>
      <c r="J50" s="63"/>
      <c r="K50" s="63"/>
      <c r="L50" s="64"/>
    </row>
    <row r="51" spans="2:12" s="4" customFormat="1" ht="19.149999999999999" customHeight="1" x14ac:dyDescent="0.35">
      <c r="B51" s="110" t="s">
        <v>35</v>
      </c>
      <c r="C51" s="110"/>
      <c r="D51" s="110"/>
      <c r="E51" s="110"/>
      <c r="F51" s="110"/>
      <c r="G51" s="110"/>
      <c r="H51" s="110"/>
      <c r="I51" s="110"/>
      <c r="J51" s="110"/>
      <c r="K51" s="110"/>
      <c r="L51" s="110"/>
    </row>
    <row r="52" spans="2:12" s="4" customFormat="1" ht="45.6" customHeight="1" x14ac:dyDescent="0.35">
      <c r="B52" s="111" t="s">
        <v>36</v>
      </c>
      <c r="C52" s="111"/>
      <c r="D52" s="111"/>
      <c r="E52" s="111"/>
      <c r="F52" s="111"/>
      <c r="G52" s="111"/>
      <c r="H52" s="111"/>
      <c r="I52" s="111"/>
      <c r="J52" s="64"/>
      <c r="K52" s="64"/>
      <c r="L52" s="64"/>
    </row>
    <row r="53" spans="2:12" s="4" customFormat="1" ht="18" x14ac:dyDescent="0.35">
      <c r="B53" s="110" t="s">
        <v>37</v>
      </c>
      <c r="C53" s="110"/>
      <c r="D53" s="110"/>
      <c r="E53" s="110"/>
      <c r="F53" s="110"/>
      <c r="G53" s="110"/>
      <c r="H53" s="110"/>
      <c r="I53" s="110"/>
      <c r="J53" s="110"/>
      <c r="K53" s="110"/>
      <c r="L53" s="110"/>
    </row>
    <row r="54" spans="2:12" s="4" customFormat="1" ht="49.9" customHeight="1" x14ac:dyDescent="0.35">
      <c r="B54" s="111" t="s">
        <v>38</v>
      </c>
      <c r="C54" s="111"/>
      <c r="D54" s="111"/>
      <c r="E54" s="111"/>
      <c r="F54" s="111"/>
      <c r="G54" s="111"/>
      <c r="H54" s="111"/>
      <c r="I54" s="111"/>
      <c r="J54" s="64"/>
      <c r="K54" s="64"/>
      <c r="L54" s="64"/>
    </row>
    <row r="55" spans="2:12" s="4" customFormat="1" ht="18" x14ac:dyDescent="0.35">
      <c r="B55" s="110" t="s">
        <v>39</v>
      </c>
      <c r="C55" s="110"/>
      <c r="D55" s="110"/>
      <c r="E55" s="110"/>
      <c r="F55" s="110"/>
      <c r="G55" s="110"/>
      <c r="H55" s="110"/>
      <c r="I55" s="110"/>
      <c r="J55" s="110"/>
      <c r="K55" s="110"/>
      <c r="L55" s="110"/>
    </row>
    <row r="56" spans="2:12" s="4" customFormat="1" ht="124.9" customHeight="1" x14ac:dyDescent="0.35">
      <c r="B56" s="111" t="s">
        <v>40</v>
      </c>
      <c r="C56" s="111"/>
      <c r="D56" s="111"/>
      <c r="E56" s="111"/>
      <c r="F56" s="111"/>
      <c r="G56" s="111"/>
      <c r="H56" s="111"/>
      <c r="I56" s="111"/>
      <c r="J56" s="64"/>
      <c r="K56" s="64"/>
      <c r="L56" s="64"/>
    </row>
    <row r="57" spans="2:12" s="4" customFormat="1" ht="18" x14ac:dyDescent="0.35">
      <c r="B57" s="110" t="s">
        <v>41</v>
      </c>
      <c r="C57" s="110"/>
      <c r="D57" s="110"/>
      <c r="E57" s="110"/>
      <c r="F57" s="110"/>
      <c r="G57" s="110"/>
      <c r="H57" s="110"/>
      <c r="I57" s="110"/>
      <c r="J57" s="110"/>
      <c r="K57" s="110"/>
      <c r="L57" s="110"/>
    </row>
    <row r="58" spans="2:12" s="4" customFormat="1" ht="29.45" customHeight="1" x14ac:dyDescent="0.35">
      <c r="B58" s="111" t="s">
        <v>42</v>
      </c>
      <c r="C58" s="111"/>
      <c r="D58" s="111"/>
      <c r="E58" s="111"/>
      <c r="F58" s="111"/>
      <c r="G58" s="111"/>
      <c r="H58" s="111"/>
      <c r="I58" s="111"/>
      <c r="J58" s="64"/>
      <c r="K58" s="64"/>
      <c r="L58" s="64"/>
    </row>
    <row r="59" spans="2:12" s="4" customFormat="1" ht="18" x14ac:dyDescent="0.35">
      <c r="B59" s="110" t="s">
        <v>43</v>
      </c>
      <c r="C59" s="110"/>
      <c r="D59" s="110"/>
      <c r="E59" s="110"/>
      <c r="F59" s="110"/>
      <c r="G59" s="110"/>
      <c r="H59" s="110"/>
      <c r="I59" s="110"/>
      <c r="J59" s="110"/>
      <c r="K59" s="110"/>
      <c r="L59" s="110"/>
    </row>
    <row r="60" spans="2:12" s="4" customFormat="1" ht="31.9" customHeight="1" x14ac:dyDescent="0.35">
      <c r="B60" s="111" t="s">
        <v>44</v>
      </c>
      <c r="C60" s="111"/>
      <c r="D60" s="111"/>
      <c r="E60" s="111"/>
      <c r="F60" s="111"/>
      <c r="G60" s="111"/>
      <c r="H60" s="111"/>
      <c r="I60" s="111"/>
      <c r="J60" s="64"/>
      <c r="K60" s="64"/>
      <c r="L60" s="64"/>
    </row>
    <row r="61" spans="2:12" s="4" customFormat="1" ht="9" customHeight="1" x14ac:dyDescent="0.35">
      <c r="B61" s="61"/>
      <c r="C61" s="60"/>
      <c r="D61" s="60"/>
      <c r="E61" s="60"/>
      <c r="F61" s="60"/>
      <c r="G61" s="60"/>
      <c r="H61" s="60"/>
      <c r="I61" s="60"/>
      <c r="J61" s="60"/>
      <c r="K61" s="60"/>
      <c r="L61" s="60"/>
    </row>
    <row r="62" spans="2:12" s="4" customFormat="1" ht="18" x14ac:dyDescent="0.35">
      <c r="B62" s="65" t="s">
        <v>45</v>
      </c>
      <c r="C62" s="60"/>
      <c r="D62" s="60"/>
      <c r="E62" s="60"/>
      <c r="F62" s="60"/>
      <c r="G62" s="60"/>
      <c r="H62" s="60"/>
      <c r="I62" s="60"/>
      <c r="J62" s="60"/>
      <c r="K62" s="60"/>
      <c r="L62" s="60"/>
    </row>
    <row r="63" spans="2:12" s="4" customFormat="1" ht="18" x14ac:dyDescent="0.35">
      <c r="B63" s="66" t="s">
        <v>46</v>
      </c>
      <c r="C63" s="60"/>
      <c r="D63" s="60"/>
      <c r="E63" s="60"/>
      <c r="F63" s="60"/>
      <c r="G63" s="60"/>
      <c r="H63" s="60"/>
      <c r="I63" s="60"/>
      <c r="J63" s="60"/>
      <c r="K63" s="60"/>
      <c r="L63" s="60"/>
    </row>
  </sheetData>
  <sheetProtection formatCells="0" formatColumns="0" formatRows="0" insertColumns="0" insertRows="0" insertHyperlinks="0" deleteColumns="0" deleteRows="0" sort="0" autoFilter="0" pivotTables="0"/>
  <mergeCells count="18">
    <mergeCell ref="B57:L57"/>
    <mergeCell ref="B59:L59"/>
    <mergeCell ref="B56:I56"/>
    <mergeCell ref="B58:I58"/>
    <mergeCell ref="B60:I60"/>
    <mergeCell ref="B51:L51"/>
    <mergeCell ref="B53:L53"/>
    <mergeCell ref="B55:L55"/>
    <mergeCell ref="B52:I52"/>
    <mergeCell ref="B54:I54"/>
    <mergeCell ref="G3:G4"/>
    <mergeCell ref="H3:H4"/>
    <mergeCell ref="C6:H6"/>
    <mergeCell ref="B49:K49"/>
    <mergeCell ref="B50:I50"/>
    <mergeCell ref="C37:F37"/>
    <mergeCell ref="G11:H11"/>
    <mergeCell ref="G8:H8"/>
  </mergeCells>
  <conditionalFormatting sqref="G15">
    <cfRule type="cellIs" dxfId="2" priority="1" stopIfTrue="1" operator="equal">
      <formula>"a"</formula>
    </cfRule>
    <cfRule type="cellIs" dxfId="1" priority="2" stopIfTrue="1" operator="equal">
      <formula>"P"</formula>
    </cfRule>
    <cfRule type="cellIs" dxfId="0" priority="3" stopIfTrue="1" operator="equal">
      <formula>"I"</formula>
    </cfRule>
  </conditionalFormatting>
  <pageMargins left="0.7" right="0.7" top="0.75" bottom="0.75" header="0.3" footer="0.3"/>
  <pageSetup scale="4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CECA-6D33-4E53-8AF4-356FA2817E9A}">
  <sheetPr>
    <tabColor theme="9" tint="0.79998168889431442"/>
    <pageSetUpPr fitToPage="1"/>
  </sheetPr>
  <dimension ref="A1:AT79"/>
  <sheetViews>
    <sheetView zoomScale="90" zoomScaleNormal="90" workbookViewId="0">
      <selection activeCell="H13" sqref="H13"/>
    </sheetView>
  </sheetViews>
  <sheetFormatPr baseColWidth="10" defaultColWidth="11.5703125" defaultRowHeight="18" x14ac:dyDescent="0.35"/>
  <cols>
    <col min="1" max="1" width="11.5703125" style="4"/>
    <col min="2" max="2" width="3" style="4" customWidth="1"/>
    <col min="3" max="3" width="6.28515625" style="4" customWidth="1"/>
    <col min="4" max="4" width="14.140625" style="87" bestFit="1" customWidth="1"/>
    <col min="5" max="5" width="21.85546875" style="4" customWidth="1"/>
    <col min="6" max="6" width="74" style="5" bestFit="1" customWidth="1"/>
    <col min="7" max="7" width="13.7109375" style="6" customWidth="1"/>
    <col min="8" max="8" width="19.5703125" style="7" bestFit="1" customWidth="1"/>
    <col min="9" max="9" width="18.28515625" style="7" bestFit="1" customWidth="1"/>
    <col min="10" max="10" width="13.140625" style="4" bestFit="1" customWidth="1"/>
    <col min="11" max="11" width="3" style="4" customWidth="1"/>
    <col min="12" max="16384" width="11.5703125" style="4"/>
  </cols>
  <sheetData>
    <row r="1" spans="1:46" ht="18.75" thickBot="1" x14ac:dyDescent="0.4"/>
    <row r="2" spans="1:46" x14ac:dyDescent="0.35">
      <c r="B2" s="9"/>
      <c r="C2" s="10"/>
      <c r="D2" s="88"/>
      <c r="E2" s="10"/>
      <c r="F2" s="11"/>
      <c r="G2" s="12"/>
      <c r="H2" s="13"/>
      <c r="I2" s="10"/>
      <c r="J2" s="10"/>
      <c r="K2" s="14"/>
    </row>
    <row r="3" spans="1:46" x14ac:dyDescent="0.35">
      <c r="B3" s="15"/>
      <c r="G3" s="16"/>
      <c r="H3" s="17"/>
      <c r="I3" s="103" t="s">
        <v>21</v>
      </c>
      <c r="J3" s="104">
        <v>45313</v>
      </c>
      <c r="K3" s="18"/>
    </row>
    <row r="4" spans="1:46" x14ac:dyDescent="0.35">
      <c r="B4" s="15"/>
      <c r="G4" s="16"/>
      <c r="H4" s="17"/>
      <c r="I4" s="103"/>
      <c r="J4" s="104"/>
      <c r="K4" s="18"/>
    </row>
    <row r="5" spans="1:46" x14ac:dyDescent="0.35">
      <c r="B5" s="15"/>
      <c r="G5" s="16"/>
      <c r="H5" s="17"/>
      <c r="I5" s="17"/>
      <c r="K5" s="18"/>
    </row>
    <row r="6" spans="1:46" ht="21.75" x14ac:dyDescent="0.4">
      <c r="B6" s="15"/>
      <c r="C6" s="105" t="s">
        <v>51</v>
      </c>
      <c r="D6" s="105"/>
      <c r="E6" s="105"/>
      <c r="F6" s="105"/>
      <c r="G6" s="105"/>
      <c r="H6" s="105"/>
      <c r="I6" s="105"/>
      <c r="J6" s="105"/>
      <c r="K6" s="18"/>
    </row>
    <row r="7" spans="1:46" ht="10.9" customHeight="1" x14ac:dyDescent="0.4">
      <c r="B7" s="15"/>
      <c r="C7" s="26"/>
      <c r="D7" s="26"/>
      <c r="E7" s="26"/>
      <c r="F7" s="26"/>
      <c r="G7" s="26"/>
      <c r="H7" s="26"/>
      <c r="I7" s="26"/>
      <c r="J7" s="26"/>
      <c r="K7" s="18"/>
    </row>
    <row r="8" spans="1:46" x14ac:dyDescent="0.35">
      <c r="B8" s="15"/>
      <c r="C8" s="58" t="s">
        <v>9</v>
      </c>
      <c r="D8" s="89"/>
      <c r="E8" s="55"/>
      <c r="F8" s="55" t="str">
        <f>'2 - DESPIECE'!E8</f>
        <v>KAUFMANN CASA MATRIZ PISO 1-3</v>
      </c>
      <c r="G8" s="59" t="s">
        <v>31</v>
      </c>
      <c r="H8" s="112">
        <f>'2 - DESPIECE'!G8:H8</f>
        <v>0</v>
      </c>
      <c r="I8" s="112"/>
      <c r="K8" s="18"/>
    </row>
    <row r="9" spans="1:46" x14ac:dyDescent="0.35">
      <c r="B9" s="15"/>
      <c r="C9" s="58" t="s">
        <v>10</v>
      </c>
      <c r="D9" s="89"/>
      <c r="E9" s="55"/>
      <c r="F9" s="55" t="str">
        <f>'2 - DESPIECE'!E9</f>
        <v>KAUFMANN</v>
      </c>
      <c r="G9" s="59" t="s">
        <v>16</v>
      </c>
      <c r="H9" s="109" t="str">
        <f>'2 - DESPIECE'!G9</f>
        <v>ESTACION CENTRAL</v>
      </c>
      <c r="I9" s="109"/>
      <c r="K9" s="18"/>
    </row>
    <row r="10" spans="1:46" x14ac:dyDescent="0.35">
      <c r="B10" s="15"/>
      <c r="C10" s="58" t="s">
        <v>11</v>
      </c>
      <c r="D10" s="89"/>
      <c r="E10" s="55"/>
      <c r="F10" s="55" t="str">
        <f>'2 - DESPIECE'!E10</f>
        <v>AV. PAJARITOS 5830-ESTACION CENTRAL</v>
      </c>
      <c r="G10" s="59" t="s">
        <v>17</v>
      </c>
      <c r="H10" s="109" t="str">
        <f>'2 - DESPIECE'!G10</f>
        <v>SANTIAGO</v>
      </c>
      <c r="I10" s="109"/>
      <c r="K10" s="18"/>
    </row>
    <row r="11" spans="1:46" x14ac:dyDescent="0.35">
      <c r="B11" s="15"/>
      <c r="C11" s="58" t="s">
        <v>14</v>
      </c>
      <c r="D11" s="89"/>
      <c r="E11" s="55"/>
      <c r="F11" s="55" t="str">
        <f>'2 - DESPIECE'!E11</f>
        <v>SILLAS - ESCRITORIOS</v>
      </c>
      <c r="G11" s="59" t="s">
        <v>18</v>
      </c>
      <c r="H11" s="109">
        <f>'2 - DESPIECE'!G11:H11</f>
        <v>0</v>
      </c>
      <c r="I11" s="109"/>
      <c r="K11" s="18"/>
    </row>
    <row r="12" spans="1:46" x14ac:dyDescent="0.35">
      <c r="B12" s="15"/>
      <c r="C12" s="58" t="s">
        <v>12</v>
      </c>
      <c r="D12" s="89"/>
      <c r="E12" s="55"/>
      <c r="F12" s="55" t="str">
        <f>'2 - DESPIECE'!E12</f>
        <v>NELSON ALTAMIRANO</v>
      </c>
      <c r="G12" s="59" t="s">
        <v>19</v>
      </c>
      <c r="H12" s="109" t="str">
        <f>'2 - DESPIECE'!G12</f>
        <v>PAOLA YANQUEZ</v>
      </c>
      <c r="I12" s="109"/>
      <c r="K12" s="18"/>
    </row>
    <row r="13" spans="1:46" x14ac:dyDescent="0.35">
      <c r="B13" s="15"/>
      <c r="C13" s="58" t="s">
        <v>13</v>
      </c>
      <c r="D13" s="89"/>
      <c r="E13" s="56"/>
      <c r="F13" s="57">
        <f>'2 - DESPIECE'!E13</f>
        <v>45355</v>
      </c>
      <c r="G13" s="46"/>
      <c r="H13" s="49"/>
      <c r="I13" s="49"/>
      <c r="K13" s="18"/>
    </row>
    <row r="14" spans="1:46" ht="11.1" customHeight="1" x14ac:dyDescent="0.35">
      <c r="B14" s="15"/>
      <c r="G14" s="16"/>
      <c r="H14" s="17"/>
      <c r="I14" s="17"/>
      <c r="K14" s="18"/>
    </row>
    <row r="15" spans="1:46" x14ac:dyDescent="0.35">
      <c r="B15" s="15"/>
      <c r="C15" s="97" t="s">
        <v>22</v>
      </c>
      <c r="D15" s="97" t="s">
        <v>23</v>
      </c>
      <c r="E15" s="98" t="s">
        <v>1</v>
      </c>
      <c r="F15" s="98" t="s">
        <v>24</v>
      </c>
      <c r="G15" s="97" t="s">
        <v>3</v>
      </c>
      <c r="H15" s="97" t="s">
        <v>25</v>
      </c>
      <c r="I15" s="97" t="s">
        <v>4</v>
      </c>
      <c r="J15" s="98" t="s">
        <v>26</v>
      </c>
      <c r="K15" s="18"/>
    </row>
    <row r="16" spans="1:46" customFormat="1" x14ac:dyDescent="0.35">
      <c r="A16" s="4"/>
      <c r="B16" s="15"/>
      <c r="C16" s="30">
        <v>1</v>
      </c>
      <c r="D16" s="101"/>
      <c r="E16" s="31"/>
      <c r="F16" s="31"/>
      <c r="G16" s="32"/>
      <c r="H16" s="33"/>
      <c r="I16" s="34">
        <f>+H16*G16</f>
        <v>0</v>
      </c>
      <c r="J16" s="102"/>
      <c r="K16" s="27"/>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customFormat="1" x14ac:dyDescent="0.35">
      <c r="A17" s="4"/>
      <c r="B17" s="15"/>
      <c r="C17" s="30">
        <v>2</v>
      </c>
      <c r="D17" s="101"/>
      <c r="E17" s="31"/>
      <c r="F17" s="31"/>
      <c r="G17" s="32"/>
      <c r="H17" s="33"/>
      <c r="I17" s="34">
        <f>+H17*G17</f>
        <v>0</v>
      </c>
      <c r="J17" s="102"/>
      <c r="K17" s="28"/>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x14ac:dyDescent="0.35">
      <c r="B18" s="15"/>
      <c r="C18" s="35">
        <v>3</v>
      </c>
      <c r="D18" s="101"/>
      <c r="E18" s="31"/>
      <c r="F18" s="36"/>
      <c r="G18" s="37"/>
      <c r="H18" s="38"/>
      <c r="I18" s="39">
        <f>+H18*G18</f>
        <v>0</v>
      </c>
      <c r="J18" s="102"/>
      <c r="K18" s="18"/>
    </row>
    <row r="19" spans="1:46" x14ac:dyDescent="0.35">
      <c r="B19" s="15"/>
      <c r="C19" s="40">
        <v>4</v>
      </c>
      <c r="D19" s="101"/>
      <c r="E19" s="31"/>
      <c r="F19" s="41"/>
      <c r="G19" s="32"/>
      <c r="H19" s="42"/>
      <c r="I19" s="43">
        <f t="shared" ref="I19:I25" si="0">+H19*G19</f>
        <v>0</v>
      </c>
      <c r="J19" s="102"/>
      <c r="K19" s="18"/>
    </row>
    <row r="20" spans="1:46" x14ac:dyDescent="0.35">
      <c r="B20" s="15"/>
      <c r="C20" s="40">
        <v>5</v>
      </c>
      <c r="D20" s="101"/>
      <c r="E20" s="31"/>
      <c r="F20" s="41"/>
      <c r="G20" s="32"/>
      <c r="H20" s="42"/>
      <c r="I20" s="43">
        <f t="shared" si="0"/>
        <v>0</v>
      </c>
      <c r="J20" s="102"/>
      <c r="K20" s="18"/>
    </row>
    <row r="21" spans="1:46" x14ac:dyDescent="0.35">
      <c r="B21" s="15"/>
      <c r="C21" s="30">
        <v>6</v>
      </c>
      <c r="D21" s="101"/>
      <c r="E21" s="31"/>
      <c r="F21" s="41"/>
      <c r="G21" s="32"/>
      <c r="H21" s="42"/>
      <c r="I21" s="43">
        <f t="shared" si="0"/>
        <v>0</v>
      </c>
      <c r="J21" s="102"/>
      <c r="K21" s="18"/>
    </row>
    <row r="22" spans="1:46" x14ac:dyDescent="0.35">
      <c r="B22" s="15"/>
      <c r="C22" s="30">
        <v>7</v>
      </c>
      <c r="D22" s="101"/>
      <c r="E22" s="31"/>
      <c r="F22" s="86"/>
      <c r="G22" s="32"/>
      <c r="H22" s="42"/>
      <c r="I22" s="43">
        <f t="shared" si="0"/>
        <v>0</v>
      </c>
      <c r="J22" s="102"/>
      <c r="K22" s="18"/>
    </row>
    <row r="23" spans="1:46" x14ac:dyDescent="0.35">
      <c r="B23" s="15"/>
      <c r="C23" s="30">
        <v>8</v>
      </c>
      <c r="D23" s="101"/>
      <c r="E23" s="31"/>
      <c r="F23" s="41"/>
      <c r="G23" s="32"/>
      <c r="H23" s="42"/>
      <c r="I23" s="43">
        <f t="shared" si="0"/>
        <v>0</v>
      </c>
      <c r="J23" s="102"/>
      <c r="K23" s="18"/>
    </row>
    <row r="24" spans="1:46" x14ac:dyDescent="0.35">
      <c r="B24" s="15"/>
      <c r="C24" s="35">
        <v>9</v>
      </c>
      <c r="D24" s="101"/>
      <c r="E24" s="31"/>
      <c r="F24" s="41"/>
      <c r="G24" s="32"/>
      <c r="H24" s="42"/>
      <c r="I24" s="43">
        <f t="shared" si="0"/>
        <v>0</v>
      </c>
      <c r="J24" s="102"/>
      <c r="K24" s="18"/>
    </row>
    <row r="25" spans="1:46" x14ac:dyDescent="0.35">
      <c r="B25" s="15"/>
      <c r="C25" s="40">
        <v>10</v>
      </c>
      <c r="D25" s="101"/>
      <c r="E25" s="31"/>
      <c r="F25" s="94"/>
      <c r="G25" s="95"/>
      <c r="H25" s="96"/>
      <c r="I25" s="43">
        <f t="shared" si="0"/>
        <v>0</v>
      </c>
      <c r="J25" s="102"/>
      <c r="K25" s="18"/>
    </row>
    <row r="26" spans="1:46" x14ac:dyDescent="0.35">
      <c r="B26" s="15"/>
      <c r="C26" s="40">
        <v>11</v>
      </c>
      <c r="D26" s="101"/>
      <c r="E26" s="31"/>
      <c r="F26" s="41"/>
      <c r="G26" s="32"/>
      <c r="H26" s="42"/>
      <c r="I26" s="43">
        <f>+H26*G26</f>
        <v>0</v>
      </c>
      <c r="J26" s="102"/>
      <c r="K26" s="18"/>
    </row>
    <row r="27" spans="1:46" x14ac:dyDescent="0.35">
      <c r="B27" s="15"/>
      <c r="C27" s="30">
        <v>12</v>
      </c>
      <c r="D27" s="101"/>
      <c r="E27" s="31"/>
      <c r="F27" s="41"/>
      <c r="G27" s="32"/>
      <c r="H27" s="42"/>
      <c r="I27" s="43">
        <f>+H27*G27</f>
        <v>0</v>
      </c>
      <c r="J27" s="102"/>
      <c r="K27" s="18"/>
    </row>
    <row r="28" spans="1:46" x14ac:dyDescent="0.35">
      <c r="B28" s="15"/>
      <c r="C28" s="30">
        <v>13</v>
      </c>
      <c r="D28" s="101"/>
      <c r="E28" s="31"/>
      <c r="F28" s="41"/>
      <c r="G28" s="32"/>
      <c r="H28" s="42"/>
      <c r="I28" s="43">
        <f t="shared" ref="I28:I29" si="1">+H28*G28</f>
        <v>0</v>
      </c>
      <c r="J28" s="102"/>
      <c r="K28" s="18"/>
    </row>
    <row r="29" spans="1:46" x14ac:dyDescent="0.35">
      <c r="B29" s="15"/>
      <c r="C29" s="30">
        <v>14</v>
      </c>
      <c r="D29" s="101"/>
      <c r="E29" s="31"/>
      <c r="F29" s="41"/>
      <c r="G29" s="32"/>
      <c r="H29" s="42"/>
      <c r="I29" s="43">
        <f t="shared" si="1"/>
        <v>0</v>
      </c>
      <c r="J29" s="102"/>
      <c r="K29" s="18"/>
    </row>
    <row r="30" spans="1:46" x14ac:dyDescent="0.35">
      <c r="B30" s="15"/>
      <c r="C30" s="35">
        <v>15</v>
      </c>
      <c r="D30" s="101"/>
      <c r="E30" s="31"/>
      <c r="F30" s="41"/>
      <c r="G30" s="32"/>
      <c r="H30" s="42"/>
      <c r="I30" s="43">
        <f>+H30*G30</f>
        <v>0</v>
      </c>
      <c r="J30" s="102"/>
      <c r="K30" s="18"/>
    </row>
    <row r="31" spans="1:46" x14ac:dyDescent="0.35">
      <c r="B31" s="15"/>
      <c r="C31" s="40">
        <v>16</v>
      </c>
      <c r="D31" s="101"/>
      <c r="E31" s="31"/>
      <c r="F31" s="41"/>
      <c r="G31" s="32"/>
      <c r="H31" s="42"/>
      <c r="I31" s="43">
        <f>+H31*G31</f>
        <v>0</v>
      </c>
      <c r="J31" s="102"/>
      <c r="K31" s="18"/>
    </row>
    <row r="32" spans="1:46" x14ac:dyDescent="0.35">
      <c r="B32" s="15"/>
      <c r="C32" s="40">
        <v>17</v>
      </c>
      <c r="D32" s="101"/>
      <c r="E32" s="31"/>
      <c r="F32" s="41"/>
      <c r="G32" s="32"/>
      <c r="H32" s="42"/>
      <c r="I32" s="43">
        <f t="shared" ref="I32:I52" si="2">+H32*G32</f>
        <v>0</v>
      </c>
      <c r="J32" s="102"/>
      <c r="K32" s="18"/>
    </row>
    <row r="33" spans="2:12" x14ac:dyDescent="0.35">
      <c r="B33" s="15"/>
      <c r="C33" s="30">
        <v>18</v>
      </c>
      <c r="D33" s="101"/>
      <c r="E33" s="31"/>
      <c r="F33" s="41"/>
      <c r="G33" s="32"/>
      <c r="H33" s="42"/>
      <c r="I33" s="43">
        <f t="shared" si="2"/>
        <v>0</v>
      </c>
      <c r="J33" s="102"/>
      <c r="K33" s="18"/>
      <c r="L33" s="8"/>
    </row>
    <row r="34" spans="2:12" x14ac:dyDescent="0.35">
      <c r="B34" s="15"/>
      <c r="C34" s="30">
        <v>19</v>
      </c>
      <c r="D34" s="101"/>
      <c r="E34" s="31"/>
      <c r="F34" s="41"/>
      <c r="G34" s="32"/>
      <c r="H34" s="42"/>
      <c r="I34" s="43">
        <f t="shared" si="2"/>
        <v>0</v>
      </c>
      <c r="J34" s="102"/>
      <c r="K34" s="18"/>
    </row>
    <row r="35" spans="2:12" x14ac:dyDescent="0.35">
      <c r="B35" s="15"/>
      <c r="C35" s="30">
        <v>20</v>
      </c>
      <c r="D35" s="101"/>
      <c r="E35" s="31"/>
      <c r="F35" s="41"/>
      <c r="G35" s="32"/>
      <c r="H35" s="42"/>
      <c r="I35" s="43">
        <f t="shared" si="2"/>
        <v>0</v>
      </c>
      <c r="J35" s="102"/>
      <c r="K35" s="18"/>
    </row>
    <row r="36" spans="2:12" x14ac:dyDescent="0.35">
      <c r="B36" s="15"/>
      <c r="C36" s="35">
        <v>21</v>
      </c>
      <c r="D36" s="101"/>
      <c r="E36" s="31"/>
      <c r="F36" s="41"/>
      <c r="G36" s="32"/>
      <c r="H36" s="42"/>
      <c r="I36" s="43">
        <f t="shared" si="2"/>
        <v>0</v>
      </c>
      <c r="J36" s="102"/>
      <c r="K36" s="18"/>
    </row>
    <row r="37" spans="2:12" x14ac:dyDescent="0.35">
      <c r="B37" s="15"/>
      <c r="C37" s="40">
        <v>22</v>
      </c>
      <c r="D37" s="101"/>
      <c r="E37" s="31"/>
      <c r="F37" s="41"/>
      <c r="G37" s="32"/>
      <c r="H37" s="42"/>
      <c r="I37" s="43">
        <f t="shared" si="2"/>
        <v>0</v>
      </c>
      <c r="J37" s="102"/>
      <c r="K37" s="18"/>
    </row>
    <row r="38" spans="2:12" x14ac:dyDescent="0.35">
      <c r="B38" s="15"/>
      <c r="C38" s="40">
        <v>23</v>
      </c>
      <c r="D38" s="101"/>
      <c r="E38" s="31"/>
      <c r="F38" s="41"/>
      <c r="G38" s="32"/>
      <c r="H38" s="42"/>
      <c r="I38" s="43">
        <f t="shared" si="2"/>
        <v>0</v>
      </c>
      <c r="J38" s="102"/>
      <c r="K38" s="18"/>
    </row>
    <row r="39" spans="2:12" x14ac:dyDescent="0.35">
      <c r="B39" s="15"/>
      <c r="C39" s="30">
        <v>24</v>
      </c>
      <c r="D39" s="101"/>
      <c r="E39" s="31"/>
      <c r="F39" s="41"/>
      <c r="G39" s="32"/>
      <c r="H39" s="42"/>
      <c r="I39" s="43">
        <f t="shared" si="2"/>
        <v>0</v>
      </c>
      <c r="J39" s="102"/>
      <c r="K39" s="18"/>
    </row>
    <row r="40" spans="2:12" x14ac:dyDescent="0.35">
      <c r="B40" s="15"/>
      <c r="C40" s="30">
        <v>25</v>
      </c>
      <c r="D40" s="101"/>
      <c r="E40" s="31"/>
      <c r="F40" s="41"/>
      <c r="G40" s="32"/>
      <c r="H40" s="42"/>
      <c r="I40" s="43">
        <f t="shared" si="2"/>
        <v>0</v>
      </c>
      <c r="J40" s="102"/>
      <c r="K40" s="18"/>
    </row>
    <row r="41" spans="2:12" x14ac:dyDescent="0.35">
      <c r="B41" s="15"/>
      <c r="C41" s="30">
        <v>26</v>
      </c>
      <c r="D41" s="101"/>
      <c r="E41" s="31"/>
      <c r="F41" s="41"/>
      <c r="G41" s="32"/>
      <c r="H41" s="42"/>
      <c r="I41" s="43">
        <f t="shared" si="2"/>
        <v>0</v>
      </c>
      <c r="J41" s="102"/>
      <c r="K41" s="18"/>
    </row>
    <row r="42" spans="2:12" x14ac:dyDescent="0.35">
      <c r="B42" s="15"/>
      <c r="C42" s="35">
        <v>27</v>
      </c>
      <c r="D42" s="101"/>
      <c r="E42" s="31"/>
      <c r="F42" s="94"/>
      <c r="G42" s="95"/>
      <c r="H42" s="96"/>
      <c r="I42" s="43">
        <f t="shared" si="2"/>
        <v>0</v>
      </c>
      <c r="J42" s="102"/>
      <c r="K42" s="18"/>
    </row>
    <row r="43" spans="2:12" x14ac:dyDescent="0.35">
      <c r="B43" s="15"/>
      <c r="C43" s="40">
        <v>28</v>
      </c>
      <c r="D43" s="101"/>
      <c r="E43" s="31"/>
      <c r="F43" s="41"/>
      <c r="G43" s="32"/>
      <c r="H43" s="42"/>
      <c r="I43" s="43">
        <f t="shared" si="2"/>
        <v>0</v>
      </c>
      <c r="J43" s="102"/>
      <c r="K43" s="18"/>
    </row>
    <row r="44" spans="2:12" ht="18" customHeight="1" x14ac:dyDescent="0.35">
      <c r="B44" s="15"/>
      <c r="C44" s="40">
        <v>29</v>
      </c>
      <c r="D44" s="101"/>
      <c r="E44" s="31"/>
      <c r="F44" s="41"/>
      <c r="G44" s="32"/>
      <c r="H44" s="42"/>
      <c r="I44" s="43">
        <f t="shared" si="2"/>
        <v>0</v>
      </c>
      <c r="J44" s="102"/>
      <c r="K44" s="18"/>
    </row>
    <row r="45" spans="2:12" x14ac:dyDescent="0.35">
      <c r="B45" s="15"/>
      <c r="C45" s="30">
        <v>30</v>
      </c>
      <c r="D45" s="101"/>
      <c r="E45" s="31"/>
      <c r="F45" s="41"/>
      <c r="G45" s="32"/>
      <c r="H45" s="42"/>
      <c r="I45" s="43">
        <f t="shared" si="2"/>
        <v>0</v>
      </c>
      <c r="J45" s="102"/>
      <c r="K45" s="18"/>
    </row>
    <row r="46" spans="2:12" x14ac:dyDescent="0.35">
      <c r="B46" s="15"/>
      <c r="C46" s="30">
        <v>31</v>
      </c>
      <c r="D46" s="101"/>
      <c r="E46" s="31"/>
      <c r="F46" s="41"/>
      <c r="G46" s="32"/>
      <c r="H46" s="42"/>
      <c r="I46" s="43">
        <f t="shared" si="2"/>
        <v>0</v>
      </c>
      <c r="J46" s="102"/>
      <c r="K46" s="18"/>
    </row>
    <row r="47" spans="2:12" x14ac:dyDescent="0.35">
      <c r="B47" s="15"/>
      <c r="C47" s="30">
        <v>32</v>
      </c>
      <c r="D47" s="101"/>
      <c r="E47" s="31"/>
      <c r="F47" s="41"/>
      <c r="G47" s="32"/>
      <c r="H47" s="42"/>
      <c r="I47" s="43">
        <f t="shared" si="2"/>
        <v>0</v>
      </c>
      <c r="J47" s="102"/>
      <c r="K47" s="18"/>
    </row>
    <row r="48" spans="2:12" x14ac:dyDescent="0.35">
      <c r="B48" s="15"/>
      <c r="C48" s="35">
        <v>33</v>
      </c>
      <c r="D48" s="101"/>
      <c r="E48" s="31"/>
      <c r="F48" s="41"/>
      <c r="G48" s="32"/>
      <c r="H48" s="42"/>
      <c r="I48" s="43">
        <f t="shared" si="2"/>
        <v>0</v>
      </c>
      <c r="J48" s="102"/>
      <c r="K48" s="18"/>
    </row>
    <row r="49" spans="2:12" x14ac:dyDescent="0.35">
      <c r="B49" s="15"/>
      <c r="C49" s="40">
        <v>34</v>
      </c>
      <c r="D49" s="101"/>
      <c r="E49" s="31"/>
      <c r="F49" s="41"/>
      <c r="G49" s="32"/>
      <c r="H49" s="42"/>
      <c r="I49" s="43">
        <f t="shared" si="2"/>
        <v>0</v>
      </c>
      <c r="J49" s="102"/>
      <c r="K49" s="18"/>
    </row>
    <row r="50" spans="2:12" x14ac:dyDescent="0.35">
      <c r="B50" s="15"/>
      <c r="C50" s="40">
        <v>35</v>
      </c>
      <c r="D50" s="101"/>
      <c r="E50" s="31"/>
      <c r="F50" s="41"/>
      <c r="G50" s="32"/>
      <c r="H50" s="42"/>
      <c r="I50" s="43">
        <f t="shared" si="2"/>
        <v>0</v>
      </c>
      <c r="J50" s="102"/>
      <c r="K50" s="18"/>
    </row>
    <row r="51" spans="2:12" x14ac:dyDescent="0.35">
      <c r="B51" s="15"/>
      <c r="C51" s="30">
        <v>36</v>
      </c>
      <c r="D51" s="101"/>
      <c r="E51" s="31"/>
      <c r="F51" s="41"/>
      <c r="G51" s="32"/>
      <c r="H51" s="42"/>
      <c r="I51" s="43">
        <f t="shared" si="2"/>
        <v>0</v>
      </c>
      <c r="J51" s="102"/>
      <c r="K51" s="19"/>
    </row>
    <row r="52" spans="2:12" x14ac:dyDescent="0.35">
      <c r="B52" s="15"/>
      <c r="C52" s="30">
        <v>37</v>
      </c>
      <c r="D52" s="101"/>
      <c r="E52" s="31"/>
      <c r="F52" s="94"/>
      <c r="G52" s="95"/>
      <c r="H52" s="96"/>
      <c r="I52" s="43">
        <f t="shared" si="2"/>
        <v>0</v>
      </c>
      <c r="J52" s="102"/>
      <c r="K52" s="18"/>
    </row>
    <row r="53" spans="2:12" x14ac:dyDescent="0.35">
      <c r="B53" s="15"/>
      <c r="C53" s="44"/>
      <c r="D53" s="90"/>
      <c r="E53" s="44"/>
      <c r="F53" s="45"/>
      <c r="G53" s="46"/>
      <c r="H53" s="47" t="s">
        <v>4</v>
      </c>
      <c r="I53" s="47">
        <f>SUM(I16:I52)</f>
        <v>0</v>
      </c>
      <c r="J53" s="48">
        <f>SUM(J16:J52)</f>
        <v>0</v>
      </c>
      <c r="K53" s="18"/>
    </row>
    <row r="54" spans="2:12" x14ac:dyDescent="0.35">
      <c r="B54" s="15"/>
      <c r="C54" s="44"/>
      <c r="D54" s="90"/>
      <c r="E54" s="44"/>
      <c r="F54" s="45"/>
      <c r="G54" s="46"/>
      <c r="H54" s="49"/>
      <c r="I54" s="49"/>
      <c r="J54" s="44"/>
      <c r="K54" s="18"/>
    </row>
    <row r="55" spans="2:12" x14ac:dyDescent="0.35">
      <c r="B55" s="15"/>
      <c r="C55" s="44"/>
      <c r="D55" s="90"/>
      <c r="E55" s="44"/>
      <c r="F55" s="45"/>
      <c r="G55" s="46"/>
      <c r="H55" s="50" t="s">
        <v>27</v>
      </c>
      <c r="I55" s="51">
        <f>+I53*15%</f>
        <v>0</v>
      </c>
      <c r="J55" s="44"/>
      <c r="K55" s="18"/>
    </row>
    <row r="56" spans="2:12" x14ac:dyDescent="0.35">
      <c r="B56" s="15"/>
      <c r="C56" s="44"/>
      <c r="D56" s="90"/>
      <c r="E56" s="44"/>
      <c r="F56" s="45"/>
      <c r="G56" s="46"/>
      <c r="H56" s="52" t="s">
        <v>5</v>
      </c>
      <c r="I56" s="53">
        <f>+I53-I55</f>
        <v>0</v>
      </c>
      <c r="J56" s="44"/>
      <c r="K56" s="18"/>
    </row>
    <row r="57" spans="2:12" x14ac:dyDescent="0.35">
      <c r="B57" s="15"/>
      <c r="C57" s="44"/>
      <c r="D57" s="90"/>
      <c r="E57" s="44"/>
      <c r="F57" s="45"/>
      <c r="G57" s="46"/>
      <c r="H57" s="52" t="s">
        <v>30</v>
      </c>
      <c r="I57" s="53">
        <f>+I56*4%</f>
        <v>0</v>
      </c>
      <c r="J57" s="44"/>
      <c r="K57" s="18"/>
    </row>
    <row r="58" spans="2:12" x14ac:dyDescent="0.35">
      <c r="B58" s="15"/>
      <c r="C58" s="44"/>
      <c r="D58" s="90"/>
      <c r="E58" s="44"/>
      <c r="F58" s="45"/>
      <c r="G58" s="46"/>
      <c r="H58" s="54" t="s">
        <v>28</v>
      </c>
      <c r="I58" s="39">
        <f>+I56*3%</f>
        <v>0</v>
      </c>
      <c r="J58" s="44"/>
      <c r="K58" s="18"/>
    </row>
    <row r="59" spans="2:12" x14ac:dyDescent="0.35">
      <c r="B59" s="15"/>
      <c r="C59" s="44"/>
      <c r="D59" s="90"/>
      <c r="E59" s="44"/>
      <c r="F59" s="45"/>
      <c r="G59" s="46"/>
      <c r="H59" s="52" t="s">
        <v>6</v>
      </c>
      <c r="I59" s="53">
        <f>SUM(I56:I58)</f>
        <v>0</v>
      </c>
      <c r="J59" s="44"/>
      <c r="K59" s="18"/>
    </row>
    <row r="60" spans="2:12" x14ac:dyDescent="0.35">
      <c r="B60" s="15"/>
      <c r="C60" s="44"/>
      <c r="D60" s="90"/>
      <c r="E60" s="44"/>
      <c r="F60" s="45"/>
      <c r="G60" s="46"/>
      <c r="H60" s="52" t="s">
        <v>29</v>
      </c>
      <c r="I60" s="53">
        <f>+I59*19%</f>
        <v>0</v>
      </c>
      <c r="J60" s="44"/>
      <c r="K60" s="18"/>
    </row>
    <row r="61" spans="2:12" x14ac:dyDescent="0.35">
      <c r="B61" s="15"/>
      <c r="C61" s="44"/>
      <c r="D61" s="90"/>
      <c r="E61" s="44"/>
      <c r="F61" s="45"/>
      <c r="G61" s="46"/>
      <c r="H61" s="43" t="s">
        <v>8</v>
      </c>
      <c r="I61" s="43">
        <f>SUM(I59:I60)</f>
        <v>0</v>
      </c>
      <c r="J61" s="44"/>
      <c r="K61" s="18"/>
    </row>
    <row r="62" spans="2:12" ht="18.75" thickBot="1" x14ac:dyDescent="0.4">
      <c r="B62" s="20"/>
      <c r="C62" s="21"/>
      <c r="D62" s="91"/>
      <c r="E62" s="21"/>
      <c r="F62" s="22"/>
      <c r="G62" s="23"/>
      <c r="H62" s="24"/>
      <c r="I62" s="24"/>
      <c r="J62" s="21"/>
      <c r="K62" s="25"/>
    </row>
    <row r="64" spans="2:12" x14ac:dyDescent="0.35">
      <c r="B64" s="62" t="s">
        <v>32</v>
      </c>
      <c r="C64" s="60"/>
      <c r="D64" s="61"/>
      <c r="E64" s="60"/>
      <c r="F64" s="60"/>
      <c r="G64" s="60"/>
      <c r="H64" s="60"/>
      <c r="I64" s="60"/>
      <c r="J64" s="60"/>
      <c r="K64" s="60"/>
      <c r="L64" s="60"/>
    </row>
    <row r="65" spans="2:12" x14ac:dyDescent="0.35">
      <c r="B65" s="106" t="s">
        <v>33</v>
      </c>
      <c r="C65" s="106"/>
      <c r="D65" s="106"/>
      <c r="E65" s="106"/>
      <c r="F65" s="106"/>
      <c r="G65" s="106"/>
      <c r="H65" s="106"/>
      <c r="I65" s="106"/>
      <c r="J65" s="106"/>
      <c r="K65" s="106"/>
      <c r="L65" s="60"/>
    </row>
    <row r="66" spans="2:12" ht="56.45" customHeight="1" x14ac:dyDescent="0.35">
      <c r="B66" s="113" t="s">
        <v>34</v>
      </c>
      <c r="C66" s="113"/>
      <c r="D66" s="113"/>
      <c r="E66" s="113"/>
      <c r="F66" s="113"/>
      <c r="G66" s="113"/>
      <c r="H66" s="113"/>
      <c r="I66" s="113"/>
      <c r="J66" s="113"/>
      <c r="K66" s="113"/>
      <c r="L66" s="64"/>
    </row>
    <row r="67" spans="2:12" ht="19.149999999999999" customHeight="1" x14ac:dyDescent="0.35">
      <c r="B67" s="110" t="s">
        <v>35</v>
      </c>
      <c r="C67" s="110"/>
      <c r="D67" s="110"/>
      <c r="E67" s="110"/>
      <c r="F67" s="110"/>
      <c r="G67" s="110"/>
      <c r="H67" s="110"/>
      <c r="I67" s="110"/>
      <c r="J67" s="110"/>
      <c r="K67" s="110"/>
      <c r="L67" s="110"/>
    </row>
    <row r="68" spans="2:12" ht="53.45" customHeight="1" x14ac:dyDescent="0.35">
      <c r="B68" s="111" t="s">
        <v>36</v>
      </c>
      <c r="C68" s="111"/>
      <c r="D68" s="111"/>
      <c r="E68" s="111"/>
      <c r="F68" s="111"/>
      <c r="G68" s="111"/>
      <c r="H68" s="111"/>
      <c r="I68" s="111"/>
      <c r="J68" s="111"/>
      <c r="K68" s="111"/>
      <c r="L68" s="64"/>
    </row>
    <row r="69" spans="2:12" x14ac:dyDescent="0.35">
      <c r="B69" s="110" t="s">
        <v>37</v>
      </c>
      <c r="C69" s="110"/>
      <c r="D69" s="110"/>
      <c r="E69" s="110"/>
      <c r="F69" s="110"/>
      <c r="G69" s="110"/>
      <c r="H69" s="110"/>
      <c r="I69" s="110"/>
      <c r="J69" s="110"/>
      <c r="K69" s="110"/>
      <c r="L69" s="110"/>
    </row>
    <row r="70" spans="2:12" ht="47.45" customHeight="1" x14ac:dyDescent="0.35">
      <c r="B70" s="111" t="s">
        <v>38</v>
      </c>
      <c r="C70" s="111"/>
      <c r="D70" s="111"/>
      <c r="E70" s="111"/>
      <c r="F70" s="111"/>
      <c r="G70" s="111"/>
      <c r="H70" s="111"/>
      <c r="I70" s="111"/>
      <c r="J70" s="111"/>
      <c r="K70" s="111"/>
      <c r="L70" s="64"/>
    </row>
    <row r="71" spans="2:12" x14ac:dyDescent="0.35">
      <c r="B71" s="110" t="s">
        <v>39</v>
      </c>
      <c r="C71" s="110"/>
      <c r="D71" s="110"/>
      <c r="E71" s="110"/>
      <c r="F71" s="110"/>
      <c r="G71" s="110"/>
      <c r="H71" s="110"/>
      <c r="I71" s="110"/>
      <c r="J71" s="110"/>
      <c r="K71" s="110"/>
      <c r="L71" s="110"/>
    </row>
    <row r="72" spans="2:12" ht="60" customHeight="1" x14ac:dyDescent="0.35">
      <c r="B72" s="111" t="s">
        <v>40</v>
      </c>
      <c r="C72" s="111"/>
      <c r="D72" s="111"/>
      <c r="E72" s="111"/>
      <c r="F72" s="111"/>
      <c r="G72" s="111"/>
      <c r="H72" s="111"/>
      <c r="I72" s="111"/>
      <c r="J72" s="111"/>
      <c r="K72" s="111"/>
      <c r="L72" s="64"/>
    </row>
    <row r="73" spans="2:12" x14ac:dyDescent="0.35">
      <c r="B73" s="110" t="s">
        <v>41</v>
      </c>
      <c r="C73" s="110"/>
      <c r="D73" s="110"/>
      <c r="E73" s="110"/>
      <c r="F73" s="110"/>
      <c r="G73" s="110"/>
      <c r="H73" s="110"/>
      <c r="I73" s="110"/>
      <c r="J73" s="110"/>
      <c r="K73" s="110"/>
      <c r="L73" s="110"/>
    </row>
    <row r="74" spans="2:12" ht="29.45" customHeight="1" x14ac:dyDescent="0.35">
      <c r="B74" s="111" t="s">
        <v>42</v>
      </c>
      <c r="C74" s="111"/>
      <c r="D74" s="111"/>
      <c r="E74" s="111"/>
      <c r="F74" s="111"/>
      <c r="G74" s="111"/>
      <c r="H74" s="111"/>
      <c r="I74" s="111"/>
      <c r="J74" s="111"/>
      <c r="K74" s="111"/>
      <c r="L74" s="64"/>
    </row>
    <row r="75" spans="2:12" x14ac:dyDescent="0.35">
      <c r="B75" s="110" t="s">
        <v>43</v>
      </c>
      <c r="C75" s="110"/>
      <c r="D75" s="110"/>
      <c r="E75" s="110"/>
      <c r="F75" s="110"/>
      <c r="G75" s="110"/>
      <c r="H75" s="110"/>
      <c r="I75" s="110"/>
      <c r="J75" s="110"/>
      <c r="K75" s="110"/>
      <c r="L75" s="110"/>
    </row>
    <row r="76" spans="2:12" ht="31.9" customHeight="1" x14ac:dyDescent="0.35">
      <c r="B76" s="111" t="s">
        <v>44</v>
      </c>
      <c r="C76" s="111"/>
      <c r="D76" s="111"/>
      <c r="E76" s="111"/>
      <c r="F76" s="111"/>
      <c r="G76" s="111"/>
      <c r="H76" s="111"/>
      <c r="I76" s="111"/>
      <c r="J76" s="111"/>
      <c r="K76" s="111"/>
      <c r="L76" s="64"/>
    </row>
    <row r="77" spans="2:12" x14ac:dyDescent="0.35">
      <c r="B77" s="61"/>
      <c r="C77" s="60"/>
      <c r="D77" s="61"/>
      <c r="E77" s="60"/>
      <c r="F77" s="60"/>
      <c r="G77" s="60"/>
      <c r="H77" s="60"/>
      <c r="I77" s="60"/>
      <c r="J77" s="60"/>
      <c r="K77" s="60"/>
      <c r="L77" s="60"/>
    </row>
    <row r="78" spans="2:12" x14ac:dyDescent="0.35">
      <c r="B78" s="92" t="s">
        <v>49</v>
      </c>
      <c r="C78" s="60"/>
      <c r="D78" s="61"/>
      <c r="E78" s="60"/>
      <c r="F78" s="60"/>
      <c r="G78" s="60"/>
      <c r="H78" s="60"/>
      <c r="I78" s="60"/>
      <c r="J78" s="60"/>
      <c r="K78" s="60"/>
      <c r="L78" s="60"/>
    </row>
    <row r="79" spans="2:12" x14ac:dyDescent="0.35">
      <c r="B79" s="93" t="s">
        <v>50</v>
      </c>
      <c r="C79" s="60"/>
      <c r="D79" s="61"/>
      <c r="E79" s="60"/>
      <c r="F79" s="60"/>
      <c r="G79" s="60"/>
      <c r="H79" s="60"/>
      <c r="I79" s="60"/>
      <c r="J79" s="60"/>
      <c r="K79" s="60"/>
      <c r="L79" s="60"/>
    </row>
  </sheetData>
  <mergeCells count="20">
    <mergeCell ref="I3:I4"/>
    <mergeCell ref="J3:J4"/>
    <mergeCell ref="H8:I8"/>
    <mergeCell ref="C6:J6"/>
    <mergeCell ref="B73:L73"/>
    <mergeCell ref="H10:I10"/>
    <mergeCell ref="H9:I9"/>
    <mergeCell ref="B66:K66"/>
    <mergeCell ref="B65:K65"/>
    <mergeCell ref="H12:I12"/>
    <mergeCell ref="H11:I11"/>
    <mergeCell ref="B74:K74"/>
    <mergeCell ref="B75:L75"/>
    <mergeCell ref="B76:K76"/>
    <mergeCell ref="B67:L67"/>
    <mergeCell ref="B68:K68"/>
    <mergeCell ref="B69:L69"/>
    <mergeCell ref="B70:K70"/>
    <mergeCell ref="B71:L71"/>
    <mergeCell ref="B72:K72"/>
  </mergeCells>
  <pageMargins left="0.25" right="0.25" top="0.75" bottom="0.75" header="0.3" footer="0.3"/>
  <pageSetup scale="44"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2 - DESPIECE</vt:lpstr>
      <vt:lpstr>1 - COT. RESUMEN</vt:lpstr>
      <vt:lpstr>'1 - COT. RESUMEN'!_MailAutoSig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Diseno OH</dc:creator>
  <cp:lastModifiedBy>Rodrigo Calderón Arévalo</cp:lastModifiedBy>
  <cp:lastPrinted>2024-03-04T15:43:30Z</cp:lastPrinted>
  <dcterms:created xsi:type="dcterms:W3CDTF">2024-01-17T11:21:43Z</dcterms:created>
  <dcterms:modified xsi:type="dcterms:W3CDTF">2024-03-04T15:53:58Z</dcterms:modified>
</cp:coreProperties>
</file>