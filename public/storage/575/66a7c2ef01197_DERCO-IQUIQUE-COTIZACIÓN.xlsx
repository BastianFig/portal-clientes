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Ventas Ohffice 2\Desktop\OHFFICE\PROYECTOS\DERCO\2024\DERCOS PAULO CASTILLO\"/>
    </mc:Choice>
  </mc:AlternateContent>
  <xr:revisionPtr revIDLastSave="0" documentId="13_ncr:1_{393891E3-04EA-4D62-9E84-0233EA90B134}" xr6:coauthVersionLast="47" xr6:coauthVersionMax="47" xr10:uidLastSave="{00000000-0000-0000-0000-000000000000}"/>
  <bookViews>
    <workbookView xWindow="-120" yWindow="-120" windowWidth="20730" windowHeight="11160" xr2:uid="{C8E71719-6E8B-43EC-9E6D-7EB31202EC04}"/>
  </bookViews>
  <sheets>
    <sheet name="1 - COT. RESUMEN" sheetId="1" r:id="rId1"/>
  </sheets>
  <definedNames>
    <definedName name="_MailAutoSig" localSheetId="0">'1 - COT. RESUMEN'!$B$68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9" i="1" l="1"/>
  <c r="I51" i="1"/>
  <c r="J51" i="1" s="1"/>
  <c r="I48" i="1"/>
  <c r="I47" i="1"/>
  <c r="I46" i="1"/>
  <c r="I45" i="1"/>
  <c r="I43" i="1"/>
  <c r="I42" i="1"/>
  <c r="I40" i="1"/>
  <c r="I39" i="1"/>
  <c r="I33" i="1"/>
  <c r="I34" i="1"/>
  <c r="I35" i="1"/>
  <c r="I36" i="1"/>
  <c r="I37" i="1"/>
  <c r="I29" i="1"/>
  <c r="I30" i="1"/>
  <c r="I31" i="1"/>
  <c r="I26" i="1"/>
  <c r="I27" i="1"/>
  <c r="I25" i="1"/>
  <c r="I32" i="1"/>
  <c r="J32" i="1" s="1"/>
  <c r="I21" i="1"/>
  <c r="I22" i="1"/>
  <c r="I23" i="1"/>
  <c r="I17" i="1"/>
  <c r="I18" i="1"/>
  <c r="I19" i="1"/>
  <c r="I38" i="1"/>
  <c r="J38" i="1" s="1"/>
  <c r="I52" i="1"/>
  <c r="J52" i="1" s="1"/>
  <c r="I20" i="1"/>
  <c r="J20" i="1" s="1"/>
  <c r="I16" i="1"/>
  <c r="J16" i="1" s="1"/>
  <c r="I56" i="1" l="1"/>
  <c r="J56" i="1" s="1"/>
  <c r="I54" i="1"/>
  <c r="J54" i="1" s="1"/>
  <c r="I55" i="1"/>
  <c r="J55" i="1" s="1"/>
  <c r="I53" i="1"/>
  <c r="J53" i="1" s="1"/>
  <c r="I49" i="1"/>
  <c r="J49" i="1" s="1"/>
  <c r="I50" i="1"/>
  <c r="J50" i="1" s="1"/>
  <c r="I28" i="1"/>
  <c r="J28" i="1" s="1"/>
  <c r="I41" i="1"/>
  <c r="J41" i="1" s="1"/>
  <c r="I44" i="1"/>
  <c r="J44" i="1" s="1"/>
  <c r="I24" i="1"/>
  <c r="J24" i="1" s="1"/>
  <c r="I57" i="1" l="1"/>
  <c r="I60" i="1" s="1"/>
  <c r="J57" i="1" l="1"/>
  <c r="I63" i="1" l="1"/>
  <c r="I64" i="1" s="1"/>
  <c r="I65" i="1" s="1"/>
</calcChain>
</file>

<file path=xl/sharedStrings.xml><?xml version="1.0" encoding="utf-8"?>
<sst xmlns="http://schemas.openxmlformats.org/spreadsheetml/2006/main" count="150" uniqueCount="120">
  <si>
    <t>CODIGO</t>
  </si>
  <si>
    <t>CANTIDAD</t>
  </si>
  <si>
    <t>TOTAL</t>
  </si>
  <si>
    <t xml:space="preserve">SUBTOTAL       </t>
  </si>
  <si>
    <t>NETO</t>
  </si>
  <si>
    <t>TOTAL FINAL</t>
  </si>
  <si>
    <t>PROYECTO</t>
  </si>
  <si>
    <t>CLIENTE</t>
  </si>
  <si>
    <t>DIRECCIÓN</t>
  </si>
  <si>
    <t>ENCARGADO SR/SRA:</t>
  </si>
  <si>
    <t>FECHA</t>
  </si>
  <si>
    <t>REQUERIMIENTO MOBILIARIO</t>
  </si>
  <si>
    <t>COMUNA</t>
  </si>
  <si>
    <t>CIUDAD</t>
  </si>
  <si>
    <t>TELEFONO</t>
  </si>
  <si>
    <t>EJECUTUVO</t>
  </si>
  <si>
    <t>FECHA EMISION</t>
  </si>
  <si>
    <t>Nº</t>
  </si>
  <si>
    <t>TIPO</t>
  </si>
  <si>
    <t>DESCRIPCION</t>
  </si>
  <si>
    <t>PRECIO UNITARIO</t>
  </si>
  <si>
    <t>TOTAL TIPO</t>
  </si>
  <si>
    <t>IVA 19%</t>
  </si>
  <si>
    <t>R.U.T.</t>
  </si>
  <si>
    <t>Condiciones Comerciales</t>
  </si>
  <si>
    <t>Aceptación de un proyecto</t>
  </si>
  <si>
    <t>Se entenderá por aceptado el proyecto una vez que el cliente haya emitido una orden de compra (OC) por la cotización a Ohffice SpA, se firmen: los planos definitivos del proyecto, colores de terminaciones, tapices, para la fabricación de los productos y se haya cancelado el anticipo pactado en la cotización. Los productos de importación serán facturados al dólar observado del día de facturación.
Solo una vez que se cuente con el anticipo, el proyecto pasa a etapa de fabricación.</t>
  </si>
  <si>
    <t>Rectificación</t>
  </si>
  <si>
    <t>Una vez recibida la OC del cliente, dentro de 2 días, nuestro personal calificado rectificará medidas en obra.  Esto puede producir variaciones en productos, cantidades, valores y plazos de entregas que serán informados al cliente para su aprobación final.  Si el cliente define no rectificar las medidas en terreno y trabajar solo en base a planimetría, cualquier variación de obra que provoquen modificaciones al mobiliario serán de responsabilidad y cargo exclusivo del cliente.</t>
  </si>
  <si>
    <t>Modificaciones</t>
  </si>
  <si>
    <t>Solo se aceptarán modificaciones posteriores a un proyecto aprobado, no instalado, si se acepta por escrito un nuevo presupuesto con las variaciones de productos solicitados y estos costos son asumidos por el cliente. 
Estas modificaciones aprobadas, deben considerar un plazo de entrega de 25 días hábiles, una vez aceptado el presupuesto.</t>
  </si>
  <si>
    <t>Despacho e Instalación</t>
  </si>
  <si>
    <t xml:space="preserve">El despacho e instalación de cada proyectos debe ser considerado y evaluado de forma particular de acuerdo a la ubicación, tipo de mercancía, ubicación, entre otros. 
No se despacharán ni instalarán productos mientras la obra no esté terminada. En caso de que el cliente lo exija, éste asume total responsabilidad por deterioro o daño de los productos. 
La instalación será realizada por personal de Ohffice, conforme con los planos firmados por el cliente en la aceptación del proyecto. Si el cliente quiere realizar la instalación por su propia cuenta, se exime de responsabilidad a Ohffice todo daño o deterioro en los productos.
Toda modificación en la distribución debe ser realizada por escrito solo por el responsable del proyecto. 
En caso de que el cliente no pueda recibir en la fecha comprometida, Ohffice realizará un cargo por bodegaje de 0,3UF por día adicional a la fecha. 
</t>
  </si>
  <si>
    <t>Recepción Final</t>
  </si>
  <si>
    <t xml:space="preserve">El ejecutivo de Ohffice realizará una revisión final con el responsable del proyecto, que se entenderá como recepción final por parte del cliente, liberando el pago final del 10%. </t>
  </si>
  <si>
    <t>Devoluciones</t>
  </si>
  <si>
    <t xml:space="preserve">Ohffice SPA, solo aceptará devoluciones si la devolución del producto se realiza antes de 3 días hábiles después de recibido por el cliente y el producto se encuentre en óptimas condiciones y no haya sido utilizado. No se aceptarán devoluciones de productos especiales fabricados o importados a pedido. </t>
  </si>
  <si>
    <t>PAOLA YANQUEZ</t>
  </si>
  <si>
    <r>
      <t>[1]</t>
    </r>
    <r>
      <rPr>
        <sz val="9"/>
        <rFont val="Calibri"/>
        <family val="2"/>
      </rPr>
      <t xml:space="preserve"> Por espacio no habilitado para rectificar se entiende como aquellos lugares que cuenten con construcciones u modificaciones en su interior. </t>
    </r>
  </si>
  <si>
    <r>
      <t xml:space="preserve">[1] </t>
    </r>
    <r>
      <rPr>
        <sz val="9"/>
        <rFont val="Calibri"/>
        <family val="2"/>
      </rPr>
      <t>Las siguientes provincias pertenecientes a la Región Metropolitana sí cuentan con costo de transporte: Provincia de Maipo, Provincia de Melipilla y Provincia Cordillera.</t>
    </r>
  </si>
  <si>
    <t>COTIZACIÓN Nº</t>
  </si>
  <si>
    <t>ESC-GIR-180d</t>
  </si>
  <si>
    <t>ESC-GIR-180i</t>
  </si>
  <si>
    <t>ESC-RCT-145d</t>
  </si>
  <si>
    <t>ESC-RCT-145i</t>
  </si>
  <si>
    <t>MS-CWK-210</t>
  </si>
  <si>
    <t>SF-SSTT</t>
  </si>
  <si>
    <t>ESC-SSTT-100</t>
  </si>
  <si>
    <t>DERCO</t>
  </si>
  <si>
    <t>DERCO IQUIQUE</t>
  </si>
  <si>
    <t>IQUIQUE</t>
  </si>
  <si>
    <t>SILLAS - ESCRITORIOS - SOFTSEATING</t>
  </si>
  <si>
    <t>JOSE MELO SIMON</t>
  </si>
  <si>
    <t>CUR25.18070.A</t>
  </si>
  <si>
    <t>CUBIERTA RECTA (25MM)DE 180 X 70 LAMINADO A</t>
  </si>
  <si>
    <t>PILAR5050</t>
  </si>
  <si>
    <t>PILAR CUADRADO 5050MM H725 SIMPLE</t>
  </si>
  <si>
    <t>INT_TAPADOBLE</t>
  </si>
  <si>
    <t xml:space="preserve">TAPA REGISTRO ELECT. DOBLE </t>
  </si>
  <si>
    <t>CUR25.15070.A</t>
  </si>
  <si>
    <t>CUBIERTA RECTA (25MM)DE 150 X 70 LAMINADO A</t>
  </si>
  <si>
    <t>INT_CAJA2X1</t>
  </si>
  <si>
    <t>CAJA ELECTRICA SIMPLE-DOBLE(1X2)</t>
  </si>
  <si>
    <t>CUR25.21090.A</t>
  </si>
  <si>
    <t>CUBIERTA RECTA (25MM)DE 210 X 90 LAMINADO A</t>
  </si>
  <si>
    <t>INT_CHASISDOBLE</t>
  </si>
  <si>
    <t>CHASIS DOBLE PORTA MODULO ELECT.MULTILINEA C/TUERCA REM</t>
  </si>
  <si>
    <t>INT_CANALLIGHTSIM100</t>
  </si>
  <si>
    <t>CANAL LINK SIMPLE L=1000MM.S/SOP. VIDRIO</t>
  </si>
  <si>
    <t>INT1695</t>
  </si>
  <si>
    <t xml:space="preserve">VERTEBRA RIGIDA H=915 REGULABLE HASTA 1100 </t>
  </si>
  <si>
    <t>SB3650503.195</t>
  </si>
  <si>
    <t>SOFA TALK CANTO_ (VNL) GRIS GRAFITO</t>
  </si>
  <si>
    <t>SB3650502.130</t>
  </si>
  <si>
    <t>SOFA TALK CENTRAL _ (VNL) ROJO</t>
  </si>
  <si>
    <t>CUR25.10060.A</t>
  </si>
  <si>
    <t>CUBIERTA RECTA (25MM)DE 100 X 60 LAMINADO A</t>
  </si>
  <si>
    <t>TAPA.PASA.CABLE</t>
  </si>
  <si>
    <t>INT1945</t>
  </si>
  <si>
    <t>EST LIGHT 100X60 PF5050 S/E</t>
  </si>
  <si>
    <t>SLL-EJ</t>
  </si>
  <si>
    <t>CUR25.20050.A</t>
  </si>
  <si>
    <t>CUBIERTA RECTA (25MM)DE 200 X 50 LAMINADO A</t>
  </si>
  <si>
    <t>INT1946</t>
  </si>
  <si>
    <t>EST LIGHT 200X50 PF5050 C/E MDLDBL</t>
  </si>
  <si>
    <t>INT_OCUVIDOBLE</t>
  </si>
  <si>
    <t>OCULTA VISION CHASIS DOBLE MULTILINEA</t>
  </si>
  <si>
    <t>MS-CAFÉ-210</t>
  </si>
  <si>
    <t>GC.RE.70X60X70.LA</t>
  </si>
  <si>
    <t>GABINETE BAJO C/CUBIERTA 2 PUERTAS DE 70 X 60 X 73  LAM A</t>
  </si>
  <si>
    <t>MS-CTRO.2</t>
  </si>
  <si>
    <t>MO0900115.24</t>
  </si>
  <si>
    <t>MESA SPOT ALTA H73 CM_DIAM 80CM_EST GRAFITO_CUB ELMO SUIZO</t>
  </si>
  <si>
    <t>MS-CTRO.1</t>
  </si>
  <si>
    <t>MO0900126.24</t>
  </si>
  <si>
    <t>MESA TRINITI H61 DIAM 40CM_ESTR.NEGRA_CUBIERTA ELMO SUIZO</t>
  </si>
  <si>
    <t>SLL-EST.1</t>
  </si>
  <si>
    <t>SLL-EST.2</t>
  </si>
  <si>
    <t>PF3670601.356</t>
  </si>
  <si>
    <t>POLTRONA BEE (36706)_PATAS MADERA_(GRID) AMARILLO</t>
  </si>
  <si>
    <t>CF3320602.915</t>
  </si>
  <si>
    <t>SILLA FIJA STAY (33206)_PATA MADERA_PLASTICO GRAFITO</t>
  </si>
  <si>
    <t>SLL-ALT</t>
  </si>
  <si>
    <t>SLL-CLI</t>
  </si>
  <si>
    <t>PG1700135.046</t>
  </si>
  <si>
    <t>SILLA MOOV LIGHT1_SINCRO_EST.NEGRA_ASIENTO Y RESP NEGRO</t>
  </si>
  <si>
    <t>CF3400601.906</t>
  </si>
  <si>
    <t>SILLA FIJA GO (34006A)_ BASE TRINEO_ EST. CROM_S/BRAZO_AMARI</t>
  </si>
  <si>
    <t>TAPA PASACABLES 60mm</t>
  </si>
  <si>
    <t>OH11500.B</t>
  </si>
  <si>
    <t xml:space="preserve">CAJONERA ELEPCIA 1C1K DE 70 X 40 XC 72 LAM B </t>
  </si>
  <si>
    <t>OH11499.B</t>
  </si>
  <si>
    <t xml:space="preserve">CAJON ELECTRIFICABLE DE  210 X 20 X 79 LAM B </t>
  </si>
  <si>
    <t>INT1944</t>
  </si>
  <si>
    <t>EST LIGHT 210X90X97,5H PF5050 C/E MDLDBL Y CNLSMPL</t>
  </si>
  <si>
    <t xml:space="preserve">FLETE </t>
  </si>
  <si>
    <t>INSTALACION</t>
  </si>
  <si>
    <t>CF3410682.997</t>
  </si>
  <si>
    <t>TABURETE GO (34020)_EST PLATA_ASIENTO GRIS_RESP GRAFITO</t>
  </si>
  <si>
    <t>DESCUENTO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</si>
</sst>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 &quot;$&quot;* #,##0_ ;_ &quot;$&quot;* \-#,##0_ ;_ &quot;$&quot;* &quot;-&quot;_ ;_ @_ "/>
  </numFmts>
  <fonts count="16" x14ac:knownFonts="1">
    <font>
      <sz val="11"/>
      <color theme="1"/>
      <name val="Calibri"/>
      <family val="2"/>
      <scheme val="minor"/>
    </font>
    <font>
      <sz val="11"/>
      <color theme="1"/>
      <name val="Calibri"/>
      <family val="2"/>
      <scheme val="minor"/>
    </font>
    <font>
      <sz val="11"/>
      <color theme="1"/>
      <name val="Montserrat"/>
    </font>
    <font>
      <b/>
      <sz val="14"/>
      <name val="Montserrat"/>
    </font>
    <font>
      <sz val="10"/>
      <color theme="1"/>
      <name val="Montserrat"/>
    </font>
    <font>
      <b/>
      <sz val="10"/>
      <name val="Montserrat"/>
    </font>
    <font>
      <sz val="10"/>
      <name val="Arial"/>
      <family val="2"/>
    </font>
    <font>
      <sz val="10"/>
      <color theme="1"/>
      <name val="Calibri"/>
      <family val="2"/>
      <scheme val="minor"/>
    </font>
    <font>
      <sz val="10"/>
      <name val="Montserrat"/>
    </font>
    <font>
      <b/>
      <sz val="10"/>
      <color indexed="8"/>
      <name val="Arial"/>
      <family val="2"/>
    </font>
    <font>
      <sz val="12"/>
      <name val="Arial"/>
      <family val="2"/>
    </font>
    <font>
      <b/>
      <u/>
      <sz val="12"/>
      <name val="Arial"/>
      <family val="2"/>
    </font>
    <font>
      <sz val="12"/>
      <color indexed="8"/>
      <name val="Arial"/>
      <family val="2"/>
    </font>
    <font>
      <b/>
      <sz val="12"/>
      <name val="Arial"/>
      <family val="2"/>
    </font>
    <font>
      <vertAlign val="superscript"/>
      <sz val="9"/>
      <name val="Calibri"/>
      <family val="2"/>
    </font>
    <font>
      <sz val="9"/>
      <name val="Calibri"/>
      <family val="2"/>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8"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diagonal/>
    </border>
  </borders>
  <cellStyleXfs count="2">
    <xf numFmtId="0" fontId="0" fillId="0" borderId="0"/>
    <xf numFmtId="42" fontId="1" fillId="0" borderId="0" applyFont="0" applyFill="0" applyBorder="0" applyAlignment="0" applyProtection="0"/>
  </cellStyleXfs>
  <cellXfs count="99">
    <xf numFmtId="0" fontId="0" fillId="0" borderId="0" xfId="0"/>
    <xf numFmtId="0" fontId="0" fillId="2" borderId="0" xfId="0" applyFill="1"/>
    <xf numFmtId="0" fontId="2" fillId="2" borderId="0" xfId="0" applyFont="1" applyFill="1"/>
    <xf numFmtId="0" fontId="2" fillId="2" borderId="0" xfId="0" applyFont="1" applyFill="1" applyAlignment="1">
      <alignment horizontal="center" vertical="center"/>
    </xf>
    <xf numFmtId="0" fontId="2" fillId="2" borderId="0" xfId="1" applyNumberFormat="1" applyFont="1" applyFill="1" applyAlignment="1">
      <alignment horizontal="center" vertical="center"/>
    </xf>
    <xf numFmtId="42" fontId="2" fillId="2" borderId="0" xfId="1" applyFont="1" applyFill="1"/>
    <xf numFmtId="0" fontId="2" fillId="2" borderId="8" xfId="0" applyFont="1" applyFill="1" applyBorder="1"/>
    <xf numFmtId="0" fontId="2" fillId="2" borderId="9" xfId="0" applyFont="1" applyFill="1" applyBorder="1"/>
    <xf numFmtId="0" fontId="2" fillId="2" borderId="9" xfId="0" applyFont="1" applyFill="1" applyBorder="1" applyAlignment="1">
      <alignment horizontal="center" vertical="center"/>
    </xf>
    <xf numFmtId="0" fontId="2" fillId="2" borderId="9" xfId="1" applyNumberFormat="1" applyFont="1" applyFill="1" applyBorder="1" applyAlignment="1">
      <alignment horizontal="center" vertical="center"/>
    </xf>
    <xf numFmtId="42" fontId="2" fillId="2" borderId="9" xfId="1" applyFont="1" applyFill="1" applyBorder="1"/>
    <xf numFmtId="0" fontId="2" fillId="2" borderId="10" xfId="0" applyFont="1" applyFill="1" applyBorder="1"/>
    <xf numFmtId="0" fontId="2" fillId="2" borderId="11" xfId="0" applyFont="1" applyFill="1" applyBorder="1"/>
    <xf numFmtId="0" fontId="2" fillId="2" borderId="0" xfId="1" applyNumberFormat="1" applyFont="1" applyFill="1" applyBorder="1" applyAlignment="1">
      <alignment horizontal="center" vertical="center"/>
    </xf>
    <xf numFmtId="42" fontId="2" fillId="2" borderId="0" xfId="1" applyFont="1" applyFill="1" applyBorder="1"/>
    <xf numFmtId="0" fontId="2" fillId="2" borderId="12" xfId="0" applyFont="1" applyFill="1" applyBorder="1"/>
    <xf numFmtId="0" fontId="2" fillId="2" borderId="13" xfId="0" applyFont="1" applyFill="1" applyBorder="1"/>
    <xf numFmtId="0" fontId="2" fillId="2" borderId="14" xfId="0" applyFont="1" applyFill="1" applyBorder="1"/>
    <xf numFmtId="0" fontId="2" fillId="2" borderId="14" xfId="0" applyFont="1" applyFill="1" applyBorder="1" applyAlignment="1">
      <alignment horizontal="center" vertical="center"/>
    </xf>
    <xf numFmtId="0" fontId="2" fillId="2" borderId="14" xfId="1" applyNumberFormat="1" applyFont="1" applyFill="1" applyBorder="1" applyAlignment="1">
      <alignment horizontal="center" vertical="center"/>
    </xf>
    <xf numFmtId="42" fontId="2" fillId="2" borderId="14" xfId="1" applyFont="1" applyFill="1" applyBorder="1"/>
    <xf numFmtId="0" fontId="2" fillId="2" borderId="15" xfId="0" applyFont="1" applyFill="1" applyBorder="1"/>
    <xf numFmtId="0" fontId="3" fillId="2" borderId="0" xfId="0" applyFont="1" applyFill="1" applyAlignment="1">
      <alignment horizontal="center"/>
    </xf>
    <xf numFmtId="0" fontId="0" fillId="2" borderId="12" xfId="0" applyFill="1" applyBorder="1"/>
    <xf numFmtId="1" fontId="8" fillId="2" borderId="1" xfId="0" applyNumberFormat="1" applyFont="1" applyFill="1" applyBorder="1" applyAlignment="1">
      <alignment horizontal="left"/>
    </xf>
    <xf numFmtId="1" fontId="8" fillId="2" borderId="1" xfId="0" applyNumberFormat="1" applyFont="1" applyFill="1" applyBorder="1" applyAlignment="1">
      <alignment horizontal="center" vertical="center"/>
    </xf>
    <xf numFmtId="42" fontId="8" fillId="2" borderId="1" xfId="1" applyFont="1" applyFill="1" applyBorder="1" applyAlignment="1">
      <alignment horizontal="right"/>
    </xf>
    <xf numFmtId="42" fontId="8" fillId="2" borderId="1" xfId="1" applyFont="1" applyFill="1" applyBorder="1" applyAlignment="1">
      <alignment horizontal="left"/>
    </xf>
    <xf numFmtId="0" fontId="4" fillId="2" borderId="3" xfId="0" applyFont="1" applyFill="1" applyBorder="1" applyAlignment="1">
      <alignment horizontal="center"/>
    </xf>
    <xf numFmtId="1" fontId="8" fillId="2" borderId="3" xfId="0" applyNumberFormat="1" applyFont="1" applyFill="1" applyBorder="1" applyAlignment="1">
      <alignment horizontal="left" vertical="center"/>
    </xf>
    <xf numFmtId="1" fontId="8" fillId="2" borderId="3" xfId="0" applyNumberFormat="1" applyFont="1" applyFill="1" applyBorder="1" applyAlignment="1">
      <alignment horizontal="center" vertical="center"/>
    </xf>
    <xf numFmtId="42" fontId="8" fillId="2" borderId="3" xfId="1" applyFont="1" applyFill="1" applyBorder="1" applyAlignment="1">
      <alignment horizontal="center" vertical="center"/>
    </xf>
    <xf numFmtId="42" fontId="4" fillId="2" borderId="3" xfId="1" applyFont="1" applyFill="1" applyBorder="1"/>
    <xf numFmtId="0" fontId="4" fillId="2" borderId="1" xfId="0" applyFont="1" applyFill="1" applyBorder="1" applyAlignment="1">
      <alignment horizontal="center"/>
    </xf>
    <xf numFmtId="1" fontId="8" fillId="2" borderId="1" xfId="0" applyNumberFormat="1" applyFont="1" applyFill="1" applyBorder="1" applyAlignment="1">
      <alignment horizontal="left" vertical="center"/>
    </xf>
    <xf numFmtId="42" fontId="8" fillId="2" borderId="1" xfId="1" applyFont="1" applyFill="1" applyBorder="1" applyAlignment="1">
      <alignment horizontal="center" vertical="center"/>
    </xf>
    <xf numFmtId="42" fontId="4" fillId="2" borderId="1" xfId="1" applyFont="1" applyFill="1" applyBorder="1"/>
    <xf numFmtId="0" fontId="4" fillId="2" borderId="0" xfId="0" applyFont="1" applyFill="1"/>
    <xf numFmtId="0" fontId="4" fillId="2" borderId="0" xfId="0" applyFont="1" applyFill="1" applyAlignment="1">
      <alignment horizontal="center" vertical="center"/>
    </xf>
    <xf numFmtId="0" fontId="4" fillId="2" borderId="0" xfId="1" applyNumberFormat="1" applyFont="1" applyFill="1" applyBorder="1" applyAlignment="1">
      <alignment horizontal="center" vertical="center"/>
    </xf>
    <xf numFmtId="42" fontId="4" fillId="2" borderId="1" xfId="1" applyFont="1" applyFill="1" applyBorder="1" applyAlignment="1">
      <alignment horizontal="right"/>
    </xf>
    <xf numFmtId="42" fontId="4" fillId="2" borderId="1" xfId="0" applyNumberFormat="1" applyFont="1" applyFill="1" applyBorder="1" applyAlignment="1">
      <alignment horizontal="right"/>
    </xf>
    <xf numFmtId="42" fontId="4" fillId="2" borderId="0" xfId="1" applyFont="1" applyFill="1" applyBorder="1"/>
    <xf numFmtId="42" fontId="4" fillId="2" borderId="6" xfId="1" applyFont="1" applyFill="1" applyBorder="1"/>
    <xf numFmtId="42" fontId="4" fillId="2" borderId="2" xfId="1" applyFont="1" applyFill="1" applyBorder="1"/>
    <xf numFmtId="42" fontId="4" fillId="2" borderId="4" xfId="1" applyFont="1" applyFill="1" applyBorder="1"/>
    <xf numFmtId="42" fontId="4" fillId="2" borderId="7" xfId="1" applyFont="1" applyFill="1" applyBorder="1"/>
    <xf numFmtId="42" fontId="4" fillId="2" borderId="5" xfId="1" applyFont="1" applyFill="1" applyBorder="1"/>
    <xf numFmtId="0" fontId="6" fillId="3" borderId="0" xfId="0" applyFont="1" applyFill="1"/>
    <xf numFmtId="14" fontId="6" fillId="3" borderId="0" xfId="0" applyNumberFormat="1" applyFont="1" applyFill="1"/>
    <xf numFmtId="14" fontId="6" fillId="3" borderId="0" xfId="0" applyNumberFormat="1" applyFont="1" applyFill="1" applyAlignment="1">
      <alignment horizontal="left"/>
    </xf>
    <xf numFmtId="0" fontId="9" fillId="3" borderId="0" xfId="0" applyFont="1" applyFill="1" applyAlignment="1">
      <alignment horizontal="left" vertical="center"/>
    </xf>
    <xf numFmtId="0" fontId="9" fillId="3" borderId="0" xfId="0" applyFont="1" applyFill="1" applyAlignment="1">
      <alignment vertical="center"/>
    </xf>
    <xf numFmtId="0" fontId="10" fillId="3" borderId="0" xfId="0" applyFont="1" applyFill="1"/>
    <xf numFmtId="0" fontId="10" fillId="3" borderId="0" xfId="0" applyFont="1" applyFill="1" applyAlignment="1">
      <alignment horizontal="center"/>
    </xf>
    <xf numFmtId="0" fontId="11" fillId="3" borderId="0" xfId="0" applyFont="1" applyFill="1" applyAlignment="1">
      <alignment horizontal="left" vertical="center"/>
    </xf>
    <xf numFmtId="0" fontId="10" fillId="3" borderId="0" xfId="0" applyFont="1" applyFill="1" applyAlignment="1">
      <alignment vertical="center" wrapText="1"/>
    </xf>
    <xf numFmtId="0" fontId="2" fillId="2" borderId="0" xfId="0" applyFont="1" applyFill="1" applyAlignment="1">
      <alignment horizontal="center"/>
    </xf>
    <xf numFmtId="0" fontId="2" fillId="2" borderId="9" xfId="0" applyFont="1" applyFill="1" applyBorder="1" applyAlignment="1">
      <alignment horizontal="center"/>
    </xf>
    <xf numFmtId="0" fontId="9" fillId="3" borderId="0" xfId="0" applyFont="1" applyFill="1" applyAlignment="1">
      <alignment horizontal="center" vertical="center"/>
    </xf>
    <xf numFmtId="0" fontId="4" fillId="2" borderId="0" xfId="0" applyFont="1" applyFill="1" applyAlignment="1">
      <alignment horizontal="center"/>
    </xf>
    <xf numFmtId="0" fontId="2" fillId="2" borderId="14" xfId="0" applyFont="1" applyFill="1" applyBorder="1" applyAlignment="1">
      <alignment horizontal="center"/>
    </xf>
    <xf numFmtId="0" fontId="14" fillId="0" borderId="0" xfId="0" applyFont="1" applyAlignment="1">
      <alignment vertical="center"/>
    </xf>
    <xf numFmtId="0" fontId="14" fillId="0" borderId="0" xfId="0" applyFont="1"/>
    <xf numFmtId="1" fontId="8" fillId="0" borderId="1" xfId="0" applyNumberFormat="1" applyFont="1" applyBorder="1" applyAlignment="1">
      <alignment horizontal="left" vertical="center"/>
    </xf>
    <xf numFmtId="1" fontId="8" fillId="0" borderId="1" xfId="0" applyNumberFormat="1" applyFont="1" applyBorder="1" applyAlignment="1">
      <alignment horizontal="center" vertical="center"/>
    </xf>
    <xf numFmtId="42" fontId="8" fillId="0" borderId="1" xfId="1" applyFont="1" applyFill="1" applyBorder="1" applyAlignment="1">
      <alignment horizontal="center" vertical="center"/>
    </xf>
    <xf numFmtId="0" fontId="4" fillId="4" borderId="2" xfId="0" applyFont="1" applyFill="1" applyBorder="1" applyAlignment="1">
      <alignment horizontal="center"/>
    </xf>
    <xf numFmtId="0" fontId="4" fillId="4" borderId="2" xfId="0" applyFont="1" applyFill="1" applyBorder="1"/>
    <xf numFmtId="1" fontId="8" fillId="2" borderId="3" xfId="0" applyNumberFormat="1" applyFont="1" applyFill="1" applyBorder="1" applyAlignment="1">
      <alignment horizontal="left"/>
    </xf>
    <xf numFmtId="1" fontId="8" fillId="2" borderId="1" xfId="0" applyNumberFormat="1" applyFont="1" applyFill="1" applyBorder="1" applyAlignment="1">
      <alignment vertical="center"/>
    </xf>
    <xf numFmtId="42" fontId="8" fillId="2" borderId="1" xfId="1" applyFont="1" applyFill="1" applyBorder="1" applyAlignment="1">
      <alignment vertical="center"/>
    </xf>
    <xf numFmtId="1" fontId="8" fillId="0" borderId="3" xfId="0" applyNumberFormat="1" applyFont="1" applyBorder="1" applyAlignment="1">
      <alignment horizontal="center" vertical="center"/>
    </xf>
    <xf numFmtId="42" fontId="8" fillId="0" borderId="3" xfId="1" applyFont="1" applyFill="1" applyBorder="1" applyAlignment="1">
      <alignment horizontal="center" vertical="center"/>
    </xf>
    <xf numFmtId="1" fontId="8" fillId="0" borderId="1" xfId="0" applyNumberFormat="1" applyFont="1" applyBorder="1" applyAlignment="1">
      <alignment horizontal="left"/>
    </xf>
    <xf numFmtId="42" fontId="8" fillId="0" borderId="1" xfId="1" applyFont="1" applyFill="1" applyBorder="1" applyAlignment="1">
      <alignment horizontal="right"/>
    </xf>
    <xf numFmtId="42" fontId="8" fillId="0" borderId="3" xfId="1" applyFont="1" applyFill="1" applyBorder="1" applyAlignment="1">
      <alignment horizontal="right"/>
    </xf>
    <xf numFmtId="42" fontId="4" fillId="0" borderId="7" xfId="1" applyFont="1" applyFill="1" applyBorder="1"/>
    <xf numFmtId="0" fontId="0" fillId="0" borderId="16" xfId="0" applyBorder="1" applyAlignment="1">
      <alignment horizontal="center"/>
    </xf>
    <xf numFmtId="0" fontId="10" fillId="3" borderId="0" xfId="0" applyFont="1" applyFill="1" applyAlignment="1">
      <alignment horizontal="left" vertical="center" wrapText="1"/>
    </xf>
    <xf numFmtId="0" fontId="13" fillId="3" borderId="0" xfId="0" applyFont="1" applyFill="1" applyAlignment="1">
      <alignment horizontal="left" vertical="center" wrapText="1"/>
    </xf>
    <xf numFmtId="42" fontId="8" fillId="2" borderId="2" xfId="1" applyFont="1" applyFill="1" applyBorder="1" applyAlignment="1">
      <alignment horizontal="center" vertical="center"/>
    </xf>
    <xf numFmtId="42" fontId="8" fillId="2" borderId="7" xfId="1" applyFont="1" applyFill="1" applyBorder="1" applyAlignment="1">
      <alignment horizontal="center" vertical="center"/>
    </xf>
    <xf numFmtId="42" fontId="8" fillId="2" borderId="3" xfId="1" applyFont="1" applyFill="1" applyBorder="1" applyAlignment="1">
      <alignment horizontal="center" vertical="center"/>
    </xf>
    <xf numFmtId="1" fontId="8" fillId="2" borderId="2" xfId="0" applyNumberFormat="1" applyFont="1" applyFill="1" applyBorder="1" applyAlignment="1">
      <alignment horizontal="center" vertical="center"/>
    </xf>
    <xf numFmtId="1" fontId="8" fillId="2" borderId="7" xfId="0" applyNumberFormat="1" applyFont="1" applyFill="1" applyBorder="1" applyAlignment="1">
      <alignment horizontal="center" vertical="center"/>
    </xf>
    <xf numFmtId="1" fontId="8" fillId="2" borderId="3" xfId="0" applyNumberFormat="1" applyFont="1" applyFill="1" applyBorder="1" applyAlignment="1">
      <alignment horizontal="center" vertical="center"/>
    </xf>
    <xf numFmtId="42" fontId="4" fillId="2" borderId="0" xfId="1" applyFont="1" applyFill="1" applyBorder="1" applyAlignment="1">
      <alignment horizontal="center" vertical="center"/>
    </xf>
    <xf numFmtId="14" fontId="5" fillId="2" borderId="0" xfId="0" applyNumberFormat="1" applyFont="1" applyFill="1" applyAlignment="1">
      <alignment horizontal="center" vertical="center"/>
    </xf>
    <xf numFmtId="0" fontId="6" fillId="3" borderId="0" xfId="0" applyFont="1" applyFill="1" applyAlignment="1">
      <alignment horizontal="left"/>
    </xf>
    <xf numFmtId="0" fontId="3" fillId="4" borderId="1" xfId="0" applyFont="1" applyFill="1" applyBorder="1" applyAlignment="1">
      <alignment horizontal="center"/>
    </xf>
    <xf numFmtId="0" fontId="12" fillId="3" borderId="0" xfId="0" applyFont="1" applyFill="1" applyAlignment="1">
      <alignment vertical="center" wrapText="1"/>
    </xf>
    <xf numFmtId="0" fontId="13" fillId="3" borderId="0" xfId="0" applyFont="1" applyFill="1" applyAlignment="1">
      <alignment horizontal="left" vertical="center"/>
    </xf>
    <xf numFmtId="0" fontId="7" fillId="0" borderId="2" xfId="0" applyFont="1" applyBorder="1" applyAlignment="1">
      <alignment horizontal="center" vertical="center"/>
    </xf>
    <xf numFmtId="0" fontId="7" fillId="0" borderId="7" xfId="0" applyFont="1" applyBorder="1" applyAlignment="1">
      <alignment horizontal="center" vertical="center"/>
    </xf>
    <xf numFmtId="0" fontId="7" fillId="0" borderId="3" xfId="0" applyFont="1" applyBorder="1" applyAlignment="1">
      <alignment horizontal="center" vertical="center"/>
    </xf>
    <xf numFmtId="0" fontId="4" fillId="2" borderId="2"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3" xfId="0" applyFont="1" applyFill="1" applyBorder="1" applyAlignment="1">
      <alignment horizontal="center" vertical="center"/>
    </xf>
  </cellXfs>
  <cellStyles count="2">
    <cellStyle name="Moneda [0]" xfId="1" builtinId="7"/>
    <cellStyle name="Normal" xfId="0" builtinId="0"/>
  </cellStyles>
  <dxfs count="0"/>
  <tableStyles count="0" defaultTableStyle="TableStyleMedium2" defaultPivotStyle="PivotStyleLight16"/>
  <colors>
    <mruColors>
      <color rgb="FF89E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274320</xdr:colOff>
      <xdr:row>1</xdr:row>
      <xdr:rowOff>152400</xdr:rowOff>
    </xdr:from>
    <xdr:to>
      <xdr:col>4</xdr:col>
      <xdr:colOff>301625</xdr:colOff>
      <xdr:row>4</xdr:row>
      <xdr:rowOff>89535</xdr:rowOff>
    </xdr:to>
    <xdr:pic>
      <xdr:nvPicPr>
        <xdr:cNvPr id="3" name="Imagen 2" descr="Imagen que contiene Logotipo&#10;&#10;Descripción generada automáticamente">
          <a:extLst>
            <a:ext uri="{FF2B5EF4-FFF2-40B4-BE49-F238E27FC236}">
              <a16:creationId xmlns:a16="http://schemas.microsoft.com/office/drawing/2014/main" id="{84697A28-69E2-D5F0-E7A3-F5F0BBF409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66800" y="419100"/>
          <a:ext cx="1724025" cy="7143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CECA-6D33-4E53-8AF4-356FA2817E9A}">
  <sheetPr>
    <tabColor theme="9" tint="0.79998168889431442"/>
  </sheetPr>
  <dimension ref="A1:AT83"/>
  <sheetViews>
    <sheetView tabSelected="1" topLeftCell="A5" zoomScale="80" zoomScaleNormal="80" workbookViewId="0">
      <selection activeCell="M15" sqref="M15"/>
    </sheetView>
  </sheetViews>
  <sheetFormatPr baseColWidth="10" defaultColWidth="11.5703125" defaultRowHeight="18" x14ac:dyDescent="0.35"/>
  <cols>
    <col min="1" max="1" width="11.5703125" style="2"/>
    <col min="2" max="2" width="3" style="2" customWidth="1"/>
    <col min="3" max="3" width="6.28515625" style="2" customWidth="1"/>
    <col min="4" max="4" width="14.7109375" style="57" bestFit="1" customWidth="1"/>
    <col min="5" max="5" width="25.28515625" style="2" bestFit="1" customWidth="1"/>
    <col min="6" max="6" width="74" style="3" bestFit="1" customWidth="1"/>
    <col min="7" max="7" width="13.7109375" style="4" customWidth="1"/>
    <col min="8" max="8" width="19.5703125" style="5" bestFit="1" customWidth="1"/>
    <col min="9" max="9" width="18.28515625" style="5" bestFit="1" customWidth="1"/>
    <col min="10" max="10" width="13.140625" style="2" bestFit="1" customWidth="1"/>
    <col min="11" max="11" width="3" style="2" customWidth="1"/>
    <col min="12" max="16384" width="11.5703125" style="2"/>
  </cols>
  <sheetData>
    <row r="1" spans="1:46" ht="18.75" thickBot="1" x14ac:dyDescent="0.4"/>
    <row r="2" spans="1:46" x14ac:dyDescent="0.35">
      <c r="B2" s="6"/>
      <c r="C2" s="7"/>
      <c r="D2" s="58"/>
      <c r="E2" s="7"/>
      <c r="F2" s="8"/>
      <c r="G2" s="9"/>
      <c r="H2" s="10"/>
      <c r="I2" s="7"/>
      <c r="J2" s="7"/>
      <c r="K2" s="11"/>
    </row>
    <row r="3" spans="1:46" x14ac:dyDescent="0.35">
      <c r="B3" s="12"/>
      <c r="G3" s="13"/>
      <c r="H3" s="14"/>
      <c r="I3" s="87" t="s">
        <v>16</v>
      </c>
      <c r="J3" s="88">
        <v>45421</v>
      </c>
      <c r="K3" s="15"/>
    </row>
    <row r="4" spans="1:46" x14ac:dyDescent="0.35">
      <c r="B4" s="12"/>
      <c r="G4" s="13"/>
      <c r="H4" s="14"/>
      <c r="I4" s="87"/>
      <c r="J4" s="88"/>
      <c r="K4" s="15"/>
    </row>
    <row r="5" spans="1:46" x14ac:dyDescent="0.35">
      <c r="B5" s="12"/>
      <c r="G5" s="13"/>
      <c r="H5" s="14"/>
      <c r="I5" s="14"/>
      <c r="K5" s="15"/>
    </row>
    <row r="6" spans="1:46" ht="21.75" x14ac:dyDescent="0.4">
      <c r="B6" s="12"/>
      <c r="C6" s="90" t="s">
        <v>40</v>
      </c>
      <c r="D6" s="90"/>
      <c r="E6" s="90"/>
      <c r="F6" s="90"/>
      <c r="G6" s="90"/>
      <c r="H6" s="90"/>
      <c r="I6" s="90"/>
      <c r="J6" s="90"/>
      <c r="K6" s="15"/>
    </row>
    <row r="7" spans="1:46" ht="10.9" customHeight="1" x14ac:dyDescent="0.4">
      <c r="B7" s="12"/>
      <c r="C7" s="22"/>
      <c r="D7" s="22"/>
      <c r="E7" s="22"/>
      <c r="F7" s="22"/>
      <c r="G7" s="22"/>
      <c r="H7" s="22"/>
      <c r="I7" s="22"/>
      <c r="J7" s="22"/>
      <c r="K7" s="15"/>
    </row>
    <row r="8" spans="1:46" x14ac:dyDescent="0.35">
      <c r="B8" s="12"/>
      <c r="C8" s="51" t="s">
        <v>6</v>
      </c>
      <c r="D8" s="59"/>
      <c r="E8" s="48"/>
      <c r="F8" s="48" t="s">
        <v>49</v>
      </c>
      <c r="G8" s="52" t="s">
        <v>23</v>
      </c>
      <c r="H8" s="89"/>
      <c r="I8" s="89"/>
      <c r="K8" s="15"/>
    </row>
    <row r="9" spans="1:46" x14ac:dyDescent="0.35">
      <c r="B9" s="12"/>
      <c r="C9" s="51" t="s">
        <v>7</v>
      </c>
      <c r="D9" s="59"/>
      <c r="E9" s="48"/>
      <c r="F9" s="48" t="s">
        <v>48</v>
      </c>
      <c r="G9" s="52" t="s">
        <v>12</v>
      </c>
      <c r="H9" s="89" t="s">
        <v>50</v>
      </c>
      <c r="I9" s="89"/>
      <c r="K9" s="15"/>
    </row>
    <row r="10" spans="1:46" x14ac:dyDescent="0.35">
      <c r="B10" s="12"/>
      <c r="C10" s="51" t="s">
        <v>8</v>
      </c>
      <c r="D10" s="59"/>
      <c r="E10" s="48"/>
      <c r="F10" s="48" t="s">
        <v>50</v>
      </c>
      <c r="G10" s="52" t="s">
        <v>13</v>
      </c>
      <c r="H10" s="89" t="s">
        <v>50</v>
      </c>
      <c r="I10" s="89"/>
      <c r="K10" s="15"/>
    </row>
    <row r="11" spans="1:46" x14ac:dyDescent="0.35">
      <c r="B11" s="12"/>
      <c r="C11" s="51" t="s">
        <v>11</v>
      </c>
      <c r="D11" s="59"/>
      <c r="E11" s="48"/>
      <c r="F11" s="48" t="s">
        <v>51</v>
      </c>
      <c r="G11" s="52" t="s">
        <v>14</v>
      </c>
      <c r="H11" s="89">
        <v>961116599</v>
      </c>
      <c r="I11" s="89"/>
      <c r="K11" s="15"/>
    </row>
    <row r="12" spans="1:46" x14ac:dyDescent="0.35">
      <c r="B12" s="12"/>
      <c r="C12" s="51" t="s">
        <v>9</v>
      </c>
      <c r="D12" s="59"/>
      <c r="E12" s="48"/>
      <c r="F12" s="48" t="s">
        <v>52</v>
      </c>
      <c r="G12" s="52" t="s">
        <v>15</v>
      </c>
      <c r="H12" s="89" t="s">
        <v>37</v>
      </c>
      <c r="I12" s="89"/>
      <c r="K12" s="15"/>
    </row>
    <row r="13" spans="1:46" x14ac:dyDescent="0.35">
      <c r="B13" s="12"/>
      <c r="C13" s="51" t="s">
        <v>10</v>
      </c>
      <c r="D13" s="59"/>
      <c r="E13" s="49"/>
      <c r="F13" s="50">
        <v>45455</v>
      </c>
      <c r="G13" s="39"/>
      <c r="H13" s="42"/>
      <c r="I13" s="42"/>
      <c r="K13" s="15"/>
    </row>
    <row r="14" spans="1:46" ht="11.1" customHeight="1" x14ac:dyDescent="0.35">
      <c r="B14" s="12"/>
      <c r="G14" s="13"/>
      <c r="H14" s="14"/>
      <c r="I14" s="14"/>
      <c r="K14" s="15"/>
    </row>
    <row r="15" spans="1:46" x14ac:dyDescent="0.35">
      <c r="B15" s="12"/>
      <c r="C15" s="67" t="s">
        <v>17</v>
      </c>
      <c r="D15" s="67" t="s">
        <v>18</v>
      </c>
      <c r="E15" s="68" t="s">
        <v>0</v>
      </c>
      <c r="F15" s="68" t="s">
        <v>19</v>
      </c>
      <c r="G15" s="67" t="s">
        <v>1</v>
      </c>
      <c r="H15" s="67" t="s">
        <v>20</v>
      </c>
      <c r="I15" s="67" t="s">
        <v>2</v>
      </c>
      <c r="J15" s="68" t="s">
        <v>21</v>
      </c>
      <c r="K15" s="15"/>
    </row>
    <row r="16" spans="1:46" customFormat="1" x14ac:dyDescent="0.35">
      <c r="A16" s="2"/>
      <c r="B16" s="12"/>
      <c r="C16" s="93">
        <v>1</v>
      </c>
      <c r="D16" s="84" t="s">
        <v>41</v>
      </c>
      <c r="E16" s="24" t="s">
        <v>53</v>
      </c>
      <c r="F16" s="24" t="s">
        <v>54</v>
      </c>
      <c r="G16" s="25">
        <v>3</v>
      </c>
      <c r="H16" s="26">
        <v>223000</v>
      </c>
      <c r="I16" s="27">
        <f>+H16*G16</f>
        <v>669000</v>
      </c>
      <c r="J16" s="81">
        <f>SUM(I16:I19)</f>
        <v>1630200</v>
      </c>
      <c r="K16" s="23"/>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row>
    <row r="17" spans="1:46" customFormat="1" x14ac:dyDescent="0.35">
      <c r="A17" s="2"/>
      <c r="B17" s="12"/>
      <c r="C17" s="94"/>
      <c r="D17" s="85"/>
      <c r="E17" s="24" t="s">
        <v>55</v>
      </c>
      <c r="F17" s="24" t="s">
        <v>56</v>
      </c>
      <c r="G17" s="25">
        <v>6</v>
      </c>
      <c r="H17" s="26">
        <v>20900</v>
      </c>
      <c r="I17" s="27">
        <f t="shared" ref="I17:I19" si="0">+H17*G17</f>
        <v>125400</v>
      </c>
      <c r="J17" s="82"/>
      <c r="K17" s="23"/>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row>
    <row r="18" spans="1:46" customFormat="1" x14ac:dyDescent="0.35">
      <c r="A18" s="2"/>
      <c r="B18" s="12"/>
      <c r="C18" s="94"/>
      <c r="D18" s="85"/>
      <c r="E18" s="24" t="s">
        <v>109</v>
      </c>
      <c r="F18" s="74" t="s">
        <v>110</v>
      </c>
      <c r="G18" s="65">
        <v>3</v>
      </c>
      <c r="H18" s="75">
        <v>230000</v>
      </c>
      <c r="I18" s="27">
        <f t="shared" si="0"/>
        <v>690000</v>
      </c>
      <c r="J18" s="82"/>
      <c r="K18" s="23"/>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row>
    <row r="19" spans="1:46" customFormat="1" x14ac:dyDescent="0.35">
      <c r="A19" s="2"/>
      <c r="B19" s="12"/>
      <c r="C19" s="95"/>
      <c r="D19" s="86"/>
      <c r="E19" s="24" t="s">
        <v>61</v>
      </c>
      <c r="F19" s="24" t="s">
        <v>62</v>
      </c>
      <c r="G19" s="65">
        <v>3</v>
      </c>
      <c r="H19" s="75">
        <v>48600</v>
      </c>
      <c r="I19" s="27">
        <f t="shared" si="0"/>
        <v>145800</v>
      </c>
      <c r="J19" s="83"/>
      <c r="K19" s="23"/>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row>
    <row r="20" spans="1:46" customFormat="1" x14ac:dyDescent="0.35">
      <c r="A20" s="2"/>
      <c r="B20" s="12"/>
      <c r="C20" s="93">
        <v>2</v>
      </c>
      <c r="D20" s="84" t="s">
        <v>42</v>
      </c>
      <c r="E20" s="24" t="s">
        <v>53</v>
      </c>
      <c r="F20" s="24" t="s">
        <v>54</v>
      </c>
      <c r="G20" s="65">
        <v>3</v>
      </c>
      <c r="H20" s="75">
        <v>223000</v>
      </c>
      <c r="I20" s="27">
        <f>+H20*G20</f>
        <v>669000</v>
      </c>
      <c r="J20" s="81">
        <f>SUM(I20:I23)</f>
        <v>1630200</v>
      </c>
      <c r="K20" s="78"/>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row>
    <row r="21" spans="1:46" customFormat="1" x14ac:dyDescent="0.35">
      <c r="A21" s="2"/>
      <c r="B21" s="12"/>
      <c r="C21" s="94"/>
      <c r="D21" s="85"/>
      <c r="E21" s="24" t="s">
        <v>55</v>
      </c>
      <c r="F21" s="69" t="s">
        <v>56</v>
      </c>
      <c r="G21" s="72">
        <v>6</v>
      </c>
      <c r="H21" s="76">
        <v>20900</v>
      </c>
      <c r="I21" s="27">
        <f t="shared" ref="I21:I23" si="1">+H21*G21</f>
        <v>125400</v>
      </c>
      <c r="J21" s="82"/>
      <c r="K21" s="78"/>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row>
    <row r="22" spans="1:46" customFormat="1" x14ac:dyDescent="0.35">
      <c r="A22" s="2"/>
      <c r="B22" s="12"/>
      <c r="C22" s="94"/>
      <c r="D22" s="85"/>
      <c r="E22" s="24" t="s">
        <v>109</v>
      </c>
      <c r="F22" s="74" t="s">
        <v>110</v>
      </c>
      <c r="G22" s="72">
        <v>3</v>
      </c>
      <c r="H22" s="76">
        <v>230000</v>
      </c>
      <c r="I22" s="27">
        <f t="shared" si="1"/>
        <v>690000</v>
      </c>
      <c r="J22" s="82"/>
      <c r="K22" s="78"/>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row>
    <row r="23" spans="1:46" customFormat="1" x14ac:dyDescent="0.35">
      <c r="A23" s="2"/>
      <c r="B23" s="12"/>
      <c r="C23" s="95"/>
      <c r="D23" s="86"/>
      <c r="E23" s="24" t="s">
        <v>61</v>
      </c>
      <c r="F23" s="69" t="s">
        <v>62</v>
      </c>
      <c r="G23" s="72">
        <v>3</v>
      </c>
      <c r="H23" s="76">
        <v>48600</v>
      </c>
      <c r="I23" s="27">
        <f t="shared" si="1"/>
        <v>145800</v>
      </c>
      <c r="J23" s="83"/>
      <c r="K23" s="78"/>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row>
    <row r="24" spans="1:46" x14ac:dyDescent="0.35">
      <c r="B24" s="12"/>
      <c r="C24" s="96">
        <v>3</v>
      </c>
      <c r="D24" s="84" t="s">
        <v>43</v>
      </c>
      <c r="E24" s="24" t="s">
        <v>59</v>
      </c>
      <c r="F24" s="29" t="s">
        <v>60</v>
      </c>
      <c r="G24" s="30">
        <v>1</v>
      </c>
      <c r="H24" s="31">
        <v>134000</v>
      </c>
      <c r="I24" s="32">
        <f>+H24*G24</f>
        <v>134000</v>
      </c>
      <c r="J24" s="81">
        <f>SUM(I24:I27)</f>
        <v>914400</v>
      </c>
      <c r="K24" s="15"/>
    </row>
    <row r="25" spans="1:46" x14ac:dyDescent="0.35">
      <c r="B25" s="12"/>
      <c r="C25" s="97"/>
      <c r="D25" s="85"/>
      <c r="E25" s="24" t="s">
        <v>55</v>
      </c>
      <c r="F25" s="24" t="s">
        <v>56</v>
      </c>
      <c r="G25" s="30">
        <v>2</v>
      </c>
      <c r="H25" s="31">
        <v>20900</v>
      </c>
      <c r="I25" s="32">
        <f>+H25*G25</f>
        <v>41800</v>
      </c>
      <c r="J25" s="82"/>
      <c r="K25" s="15"/>
    </row>
    <row r="26" spans="1:46" x14ac:dyDescent="0.35">
      <c r="B26" s="12"/>
      <c r="C26" s="97"/>
      <c r="D26" s="85"/>
      <c r="E26" s="24" t="s">
        <v>109</v>
      </c>
      <c r="F26" s="74" t="s">
        <v>110</v>
      </c>
      <c r="G26" s="72">
        <v>3</v>
      </c>
      <c r="H26" s="73">
        <v>230000</v>
      </c>
      <c r="I26" s="32">
        <f t="shared" ref="I26:I27" si="2">+H26*G26</f>
        <v>690000</v>
      </c>
      <c r="J26" s="82"/>
      <c r="K26" s="15"/>
    </row>
    <row r="27" spans="1:46" x14ac:dyDescent="0.35">
      <c r="B27" s="12"/>
      <c r="C27" s="98"/>
      <c r="D27" s="85"/>
      <c r="E27" s="24" t="s">
        <v>61</v>
      </c>
      <c r="F27" s="29" t="s">
        <v>62</v>
      </c>
      <c r="G27" s="30">
        <v>1</v>
      </c>
      <c r="H27" s="31">
        <v>48600</v>
      </c>
      <c r="I27" s="32">
        <f t="shared" si="2"/>
        <v>48600</v>
      </c>
      <c r="J27" s="83"/>
      <c r="K27" s="15"/>
    </row>
    <row r="28" spans="1:46" x14ac:dyDescent="0.35">
      <c r="B28" s="12"/>
      <c r="C28" s="96">
        <v>4</v>
      </c>
      <c r="D28" s="84" t="s">
        <v>44</v>
      </c>
      <c r="E28" s="24" t="s">
        <v>59</v>
      </c>
      <c r="F28" s="29" t="s">
        <v>60</v>
      </c>
      <c r="G28" s="25">
        <v>2</v>
      </c>
      <c r="H28" s="35">
        <v>134000</v>
      </c>
      <c r="I28" s="36">
        <f t="shared" ref="I28:I51" si="3">+H28*G28</f>
        <v>268000</v>
      </c>
      <c r="J28" s="81">
        <f>SUM(I28:I31)</f>
        <v>678800</v>
      </c>
      <c r="K28" s="15"/>
    </row>
    <row r="29" spans="1:46" x14ac:dyDescent="0.35">
      <c r="B29" s="12"/>
      <c r="C29" s="97"/>
      <c r="D29" s="85"/>
      <c r="E29" s="24" t="s">
        <v>55</v>
      </c>
      <c r="F29" s="24" t="s">
        <v>56</v>
      </c>
      <c r="G29" s="25">
        <v>4</v>
      </c>
      <c r="H29" s="35">
        <v>20900</v>
      </c>
      <c r="I29" s="36">
        <f t="shared" si="3"/>
        <v>83600</v>
      </c>
      <c r="J29" s="82"/>
      <c r="K29" s="15"/>
    </row>
    <row r="30" spans="1:46" x14ac:dyDescent="0.35">
      <c r="B30" s="12"/>
      <c r="C30" s="97"/>
      <c r="D30" s="85"/>
      <c r="E30" s="24" t="s">
        <v>109</v>
      </c>
      <c r="F30" s="74" t="s">
        <v>110</v>
      </c>
      <c r="G30" s="65">
        <v>1</v>
      </c>
      <c r="H30" s="66">
        <v>230000</v>
      </c>
      <c r="I30" s="36">
        <f t="shared" si="3"/>
        <v>230000</v>
      </c>
      <c r="J30" s="82"/>
      <c r="K30" s="15"/>
    </row>
    <row r="31" spans="1:46" x14ac:dyDescent="0.35">
      <c r="B31" s="12"/>
      <c r="C31" s="98"/>
      <c r="D31" s="85"/>
      <c r="E31" s="24" t="s">
        <v>61</v>
      </c>
      <c r="F31" s="29" t="s">
        <v>62</v>
      </c>
      <c r="G31" s="25">
        <v>2</v>
      </c>
      <c r="H31" s="35">
        <v>48600</v>
      </c>
      <c r="I31" s="36">
        <f t="shared" si="3"/>
        <v>97200</v>
      </c>
      <c r="J31" s="83"/>
      <c r="K31" s="15"/>
    </row>
    <row r="32" spans="1:46" x14ac:dyDescent="0.35">
      <c r="B32" s="12"/>
      <c r="C32" s="96">
        <v>5</v>
      </c>
      <c r="D32" s="84" t="s">
        <v>45</v>
      </c>
      <c r="E32" s="24" t="s">
        <v>63</v>
      </c>
      <c r="F32" s="34" t="s">
        <v>64</v>
      </c>
      <c r="G32" s="25">
        <v>1</v>
      </c>
      <c r="H32" s="35">
        <v>285000</v>
      </c>
      <c r="I32" s="36">
        <f t="shared" si="3"/>
        <v>285000</v>
      </c>
      <c r="J32" s="81">
        <f>SUM(I32:I37)</f>
        <v>776800</v>
      </c>
      <c r="K32" s="15"/>
    </row>
    <row r="33" spans="2:11" x14ac:dyDescent="0.35">
      <c r="B33" s="12"/>
      <c r="C33" s="97"/>
      <c r="D33" s="85"/>
      <c r="E33" s="24" t="s">
        <v>113</v>
      </c>
      <c r="F33" s="64" t="s">
        <v>114</v>
      </c>
      <c r="G33" s="65">
        <v>1</v>
      </c>
      <c r="H33" s="66">
        <v>336400</v>
      </c>
      <c r="I33" s="36">
        <f t="shared" si="3"/>
        <v>336400</v>
      </c>
      <c r="J33" s="82"/>
      <c r="K33" s="15"/>
    </row>
    <row r="34" spans="2:11" x14ac:dyDescent="0.35">
      <c r="B34" s="12"/>
      <c r="C34" s="97"/>
      <c r="D34" s="85"/>
      <c r="E34" s="24" t="s">
        <v>57</v>
      </c>
      <c r="F34" s="34" t="s">
        <v>58</v>
      </c>
      <c r="G34" s="25">
        <v>2</v>
      </c>
      <c r="H34" s="35">
        <v>19400</v>
      </c>
      <c r="I34" s="36">
        <f t="shared" si="3"/>
        <v>38800</v>
      </c>
      <c r="J34" s="82"/>
      <c r="K34" s="15"/>
    </row>
    <row r="35" spans="2:11" x14ac:dyDescent="0.35">
      <c r="B35" s="12"/>
      <c r="C35" s="97"/>
      <c r="D35" s="85"/>
      <c r="E35" s="24" t="s">
        <v>65</v>
      </c>
      <c r="F35" s="34" t="s">
        <v>66</v>
      </c>
      <c r="G35" s="25">
        <v>2</v>
      </c>
      <c r="H35" s="35">
        <v>11400</v>
      </c>
      <c r="I35" s="36">
        <f t="shared" si="3"/>
        <v>22800</v>
      </c>
      <c r="J35" s="82"/>
      <c r="K35" s="15"/>
    </row>
    <row r="36" spans="2:11" x14ac:dyDescent="0.35">
      <c r="B36" s="12"/>
      <c r="C36" s="97"/>
      <c r="D36" s="85"/>
      <c r="E36" s="24" t="s">
        <v>67</v>
      </c>
      <c r="F36" s="34" t="s">
        <v>68</v>
      </c>
      <c r="G36" s="25">
        <v>1</v>
      </c>
      <c r="H36" s="35">
        <v>28800</v>
      </c>
      <c r="I36" s="36">
        <f t="shared" si="3"/>
        <v>28800</v>
      </c>
      <c r="J36" s="82"/>
      <c r="K36" s="15"/>
    </row>
    <row r="37" spans="2:11" x14ac:dyDescent="0.35">
      <c r="B37" s="12"/>
      <c r="C37" s="98"/>
      <c r="D37" s="86"/>
      <c r="E37" s="24" t="s">
        <v>69</v>
      </c>
      <c r="F37" s="34" t="s">
        <v>70</v>
      </c>
      <c r="G37" s="25">
        <v>1</v>
      </c>
      <c r="H37" s="35">
        <v>65000</v>
      </c>
      <c r="I37" s="36">
        <f t="shared" si="3"/>
        <v>65000</v>
      </c>
      <c r="J37" s="83"/>
      <c r="K37" s="15"/>
    </row>
    <row r="38" spans="2:11" x14ac:dyDescent="0.35">
      <c r="B38" s="12"/>
      <c r="C38" s="93">
        <v>6</v>
      </c>
      <c r="D38" s="84" t="s">
        <v>46</v>
      </c>
      <c r="E38" s="24" t="s">
        <v>71</v>
      </c>
      <c r="F38" s="34" t="s">
        <v>72</v>
      </c>
      <c r="G38" s="25">
        <v>4</v>
      </c>
      <c r="H38" s="35">
        <v>425748</v>
      </c>
      <c r="I38" s="36">
        <f t="shared" si="3"/>
        <v>1702992</v>
      </c>
      <c r="J38" s="81">
        <f>SUM(I38:I40)</f>
        <v>2840518</v>
      </c>
      <c r="K38" s="15"/>
    </row>
    <row r="39" spans="2:11" x14ac:dyDescent="0.35">
      <c r="B39" s="12"/>
      <c r="C39" s="94"/>
      <c r="D39" s="85"/>
      <c r="E39" s="24" t="s">
        <v>73</v>
      </c>
      <c r="F39" s="34" t="s">
        <v>74</v>
      </c>
      <c r="G39" s="25">
        <v>2</v>
      </c>
      <c r="H39" s="35">
        <v>299763</v>
      </c>
      <c r="I39" s="36">
        <f t="shared" si="3"/>
        <v>599526</v>
      </c>
      <c r="J39" s="82"/>
      <c r="K39" s="15"/>
    </row>
    <row r="40" spans="2:11" x14ac:dyDescent="0.35">
      <c r="B40" s="12"/>
      <c r="C40" s="95"/>
      <c r="D40" s="86"/>
      <c r="E40" s="74" t="s">
        <v>111</v>
      </c>
      <c r="F40" s="64" t="s">
        <v>112</v>
      </c>
      <c r="G40" s="65">
        <v>1</v>
      </c>
      <c r="H40" s="66">
        <v>538000</v>
      </c>
      <c r="I40" s="36">
        <f t="shared" si="3"/>
        <v>538000</v>
      </c>
      <c r="J40" s="83"/>
      <c r="K40" s="15"/>
    </row>
    <row r="41" spans="2:11" x14ac:dyDescent="0.35">
      <c r="B41" s="12"/>
      <c r="C41" s="93">
        <v>7</v>
      </c>
      <c r="D41" s="84" t="s">
        <v>47</v>
      </c>
      <c r="E41" s="24" t="s">
        <v>75</v>
      </c>
      <c r="F41" s="34" t="s">
        <v>76</v>
      </c>
      <c r="G41" s="25">
        <v>3</v>
      </c>
      <c r="H41" s="35">
        <v>72000</v>
      </c>
      <c r="I41" s="36">
        <f t="shared" si="3"/>
        <v>216000</v>
      </c>
      <c r="J41" s="81">
        <f>SUM(I41:I43)</f>
        <v>602799</v>
      </c>
      <c r="K41" s="15"/>
    </row>
    <row r="42" spans="2:11" x14ac:dyDescent="0.35">
      <c r="B42" s="12"/>
      <c r="C42" s="94"/>
      <c r="D42" s="85"/>
      <c r="E42" s="24" t="s">
        <v>78</v>
      </c>
      <c r="F42" s="34" t="s">
        <v>79</v>
      </c>
      <c r="G42" s="25">
        <v>3</v>
      </c>
      <c r="H42" s="35">
        <v>125600</v>
      </c>
      <c r="I42" s="36">
        <f t="shared" si="3"/>
        <v>376800</v>
      </c>
      <c r="J42" s="82"/>
      <c r="K42" s="15"/>
    </row>
    <row r="43" spans="2:11" x14ac:dyDescent="0.35">
      <c r="B43" s="12"/>
      <c r="C43" s="95"/>
      <c r="D43" s="86"/>
      <c r="E43" s="24" t="s">
        <v>77</v>
      </c>
      <c r="F43" s="34" t="s">
        <v>108</v>
      </c>
      <c r="G43" s="25">
        <v>3</v>
      </c>
      <c r="H43" s="35">
        <v>3333</v>
      </c>
      <c r="I43" s="36">
        <f t="shared" si="3"/>
        <v>9999</v>
      </c>
      <c r="J43" s="83"/>
      <c r="K43" s="15"/>
    </row>
    <row r="44" spans="2:11" x14ac:dyDescent="0.35">
      <c r="B44" s="12"/>
      <c r="C44" s="93">
        <v>8</v>
      </c>
      <c r="D44" s="84" t="s">
        <v>80</v>
      </c>
      <c r="E44" s="24" t="s">
        <v>81</v>
      </c>
      <c r="F44" s="34" t="s">
        <v>82</v>
      </c>
      <c r="G44" s="25">
        <v>1</v>
      </c>
      <c r="H44" s="35">
        <v>138000</v>
      </c>
      <c r="I44" s="36">
        <f t="shared" si="3"/>
        <v>138000</v>
      </c>
      <c r="J44" s="81">
        <f>SUM(I44:I48)</f>
        <v>352000</v>
      </c>
      <c r="K44" s="15"/>
    </row>
    <row r="45" spans="2:11" x14ac:dyDescent="0.35">
      <c r="B45" s="12"/>
      <c r="C45" s="94"/>
      <c r="D45" s="85"/>
      <c r="E45" s="24" t="s">
        <v>83</v>
      </c>
      <c r="F45" s="34" t="s">
        <v>84</v>
      </c>
      <c r="G45" s="25">
        <v>1</v>
      </c>
      <c r="H45" s="35">
        <v>175600</v>
      </c>
      <c r="I45" s="36">
        <f t="shared" si="3"/>
        <v>175600</v>
      </c>
      <c r="J45" s="82"/>
      <c r="K45" s="15"/>
    </row>
    <row r="46" spans="2:11" x14ac:dyDescent="0.35">
      <c r="B46" s="12"/>
      <c r="C46" s="94"/>
      <c r="D46" s="85"/>
      <c r="E46" s="24" t="s">
        <v>57</v>
      </c>
      <c r="F46" s="34" t="s">
        <v>58</v>
      </c>
      <c r="G46" s="25">
        <v>1</v>
      </c>
      <c r="H46" s="35">
        <v>19400</v>
      </c>
      <c r="I46" s="36">
        <f t="shared" si="3"/>
        <v>19400</v>
      </c>
      <c r="J46" s="82"/>
      <c r="K46" s="15"/>
    </row>
    <row r="47" spans="2:11" x14ac:dyDescent="0.35">
      <c r="B47" s="12"/>
      <c r="C47" s="94"/>
      <c r="D47" s="85"/>
      <c r="E47" s="24" t="s">
        <v>65</v>
      </c>
      <c r="F47" s="34" t="s">
        <v>66</v>
      </c>
      <c r="G47" s="25">
        <v>1</v>
      </c>
      <c r="H47" s="35">
        <v>11400</v>
      </c>
      <c r="I47" s="36">
        <f t="shared" si="3"/>
        <v>11400</v>
      </c>
      <c r="J47" s="82"/>
      <c r="K47" s="15"/>
    </row>
    <row r="48" spans="2:11" x14ac:dyDescent="0.35">
      <c r="B48" s="12"/>
      <c r="C48" s="95"/>
      <c r="D48" s="86"/>
      <c r="E48" s="24" t="s">
        <v>85</v>
      </c>
      <c r="F48" s="34" t="s">
        <v>86</v>
      </c>
      <c r="G48" s="25">
        <v>1</v>
      </c>
      <c r="H48" s="35">
        <v>7600</v>
      </c>
      <c r="I48" s="36">
        <f t="shared" si="3"/>
        <v>7600</v>
      </c>
      <c r="J48" s="83"/>
      <c r="K48" s="15"/>
    </row>
    <row r="49" spans="2:13" x14ac:dyDescent="0.35">
      <c r="B49" s="12"/>
      <c r="C49" s="28">
        <v>9</v>
      </c>
      <c r="D49" s="70" t="s">
        <v>87</v>
      </c>
      <c r="E49" s="24" t="s">
        <v>88</v>
      </c>
      <c r="F49" s="34" t="s">
        <v>89</v>
      </c>
      <c r="G49" s="25">
        <v>3</v>
      </c>
      <c r="H49" s="35">
        <v>264000</v>
      </c>
      <c r="I49" s="36">
        <f t="shared" si="3"/>
        <v>792000</v>
      </c>
      <c r="J49" s="71">
        <f t="shared" ref="J49:J56" si="4">SUM(I49)</f>
        <v>792000</v>
      </c>
      <c r="K49" s="15"/>
    </row>
    <row r="50" spans="2:13" x14ac:dyDescent="0.35">
      <c r="B50" s="12"/>
      <c r="C50" s="33">
        <v>10</v>
      </c>
      <c r="D50" s="70" t="s">
        <v>93</v>
      </c>
      <c r="E50" s="24" t="s">
        <v>94</v>
      </c>
      <c r="F50" s="34" t="s">
        <v>95</v>
      </c>
      <c r="G50" s="65">
        <v>3</v>
      </c>
      <c r="H50" s="66">
        <v>81133</v>
      </c>
      <c r="I50" s="36">
        <f t="shared" si="3"/>
        <v>243399</v>
      </c>
      <c r="J50" s="71">
        <f t="shared" si="4"/>
        <v>243399</v>
      </c>
      <c r="K50" s="15"/>
    </row>
    <row r="51" spans="2:13" x14ac:dyDescent="0.35">
      <c r="B51" s="12"/>
      <c r="C51" s="33">
        <v>11</v>
      </c>
      <c r="D51" s="70" t="s">
        <v>96</v>
      </c>
      <c r="E51" s="24" t="s">
        <v>98</v>
      </c>
      <c r="F51" s="34" t="s">
        <v>99</v>
      </c>
      <c r="G51" s="65">
        <v>6</v>
      </c>
      <c r="H51" s="66">
        <v>268850</v>
      </c>
      <c r="I51" s="36">
        <f t="shared" si="3"/>
        <v>1613100</v>
      </c>
      <c r="J51" s="71">
        <f t="shared" si="4"/>
        <v>1613100</v>
      </c>
      <c r="K51" s="15"/>
    </row>
    <row r="52" spans="2:13" x14ac:dyDescent="0.35">
      <c r="B52" s="12"/>
      <c r="C52" s="33">
        <v>12</v>
      </c>
      <c r="D52" s="70" t="s">
        <v>90</v>
      </c>
      <c r="E52" s="24" t="s">
        <v>91</v>
      </c>
      <c r="F52" s="64" t="s">
        <v>92</v>
      </c>
      <c r="G52" s="25">
        <v>2</v>
      </c>
      <c r="H52" s="35">
        <v>365580</v>
      </c>
      <c r="I52" s="36">
        <f>+H52*G52</f>
        <v>731160</v>
      </c>
      <c r="J52" s="71">
        <f t="shared" si="4"/>
        <v>731160</v>
      </c>
      <c r="K52" s="15"/>
    </row>
    <row r="53" spans="2:13" x14ac:dyDescent="0.35">
      <c r="B53" s="12"/>
      <c r="C53" s="33">
        <v>13</v>
      </c>
      <c r="D53" s="70" t="s">
        <v>97</v>
      </c>
      <c r="E53" s="24" t="s">
        <v>100</v>
      </c>
      <c r="F53" s="34" t="s">
        <v>101</v>
      </c>
      <c r="G53" s="25">
        <v>4</v>
      </c>
      <c r="H53" s="35">
        <v>216026</v>
      </c>
      <c r="I53" s="36">
        <f>+H53*G53</f>
        <v>864104</v>
      </c>
      <c r="J53" s="71">
        <f t="shared" si="4"/>
        <v>864104</v>
      </c>
      <c r="K53" s="15"/>
    </row>
    <row r="54" spans="2:13" x14ac:dyDescent="0.35">
      <c r="B54" s="12"/>
      <c r="C54" s="33">
        <v>14</v>
      </c>
      <c r="D54" s="70" t="s">
        <v>102</v>
      </c>
      <c r="E54" s="24" t="s">
        <v>117</v>
      </c>
      <c r="F54" s="34" t="s">
        <v>118</v>
      </c>
      <c r="G54" s="25">
        <v>9</v>
      </c>
      <c r="H54" s="35">
        <v>167513</v>
      </c>
      <c r="I54" s="36">
        <f t="shared" ref="I54:I55" si="5">+H54*G54</f>
        <v>1507617</v>
      </c>
      <c r="J54" s="71">
        <f t="shared" si="4"/>
        <v>1507617</v>
      </c>
      <c r="K54" s="15"/>
    </row>
    <row r="55" spans="2:13" x14ac:dyDescent="0.35">
      <c r="B55" s="12"/>
      <c r="C55" s="33">
        <v>15</v>
      </c>
      <c r="D55" s="70" t="s">
        <v>103</v>
      </c>
      <c r="E55" s="24" t="s">
        <v>106</v>
      </c>
      <c r="F55" s="34" t="s">
        <v>107</v>
      </c>
      <c r="G55" s="25">
        <v>14</v>
      </c>
      <c r="H55" s="35">
        <v>134538</v>
      </c>
      <c r="I55" s="36">
        <f t="shared" si="5"/>
        <v>1883532</v>
      </c>
      <c r="J55" s="71">
        <f t="shared" si="4"/>
        <v>1883532</v>
      </c>
      <c r="K55" s="15"/>
    </row>
    <row r="56" spans="2:13" x14ac:dyDescent="0.35">
      <c r="B56" s="12"/>
      <c r="C56" s="33">
        <v>16</v>
      </c>
      <c r="D56" s="70" t="s">
        <v>80</v>
      </c>
      <c r="E56" s="24" t="s">
        <v>104</v>
      </c>
      <c r="F56" s="34" t="s">
        <v>105</v>
      </c>
      <c r="G56" s="25">
        <v>13</v>
      </c>
      <c r="H56" s="35">
        <v>208347</v>
      </c>
      <c r="I56" s="36">
        <f>+H56*G56</f>
        <v>2708511</v>
      </c>
      <c r="J56" s="71">
        <f t="shared" si="4"/>
        <v>2708511</v>
      </c>
      <c r="K56" s="15"/>
    </row>
    <row r="57" spans="2:13" x14ac:dyDescent="0.35">
      <c r="B57" s="12"/>
      <c r="C57" s="37"/>
      <c r="D57" s="60"/>
      <c r="E57" s="37"/>
      <c r="F57" s="38"/>
      <c r="G57" s="39"/>
      <c r="H57" s="40" t="s">
        <v>2</v>
      </c>
      <c r="I57" s="40">
        <f>SUM(I16:I56)</f>
        <v>19769140</v>
      </c>
      <c r="J57" s="41">
        <f>SUM(J16:J56)</f>
        <v>19769140</v>
      </c>
      <c r="K57" s="15"/>
    </row>
    <row r="58" spans="2:13" x14ac:dyDescent="0.35">
      <c r="B58" s="12"/>
      <c r="C58" s="37"/>
      <c r="D58" s="60"/>
      <c r="E58" s="37"/>
      <c r="F58" s="38"/>
      <c r="G58" s="39"/>
      <c r="H58" s="42"/>
      <c r="I58" s="42"/>
      <c r="J58" s="37"/>
      <c r="K58" s="15"/>
    </row>
    <row r="59" spans="2:13" x14ac:dyDescent="0.35">
      <c r="B59" s="12"/>
      <c r="C59" s="37"/>
      <c r="D59" s="60"/>
      <c r="E59" s="37"/>
      <c r="F59" s="38"/>
      <c r="G59" s="39"/>
      <c r="H59" s="43" t="s">
        <v>119</v>
      </c>
      <c r="I59" s="44">
        <f>+I57*25%</f>
        <v>4942285</v>
      </c>
      <c r="J59" s="37"/>
      <c r="K59" s="15"/>
    </row>
    <row r="60" spans="2:13" x14ac:dyDescent="0.35">
      <c r="B60" s="12"/>
      <c r="C60" s="37"/>
      <c r="D60" s="60"/>
      <c r="E60" s="37"/>
      <c r="F60" s="38"/>
      <c r="G60" s="39"/>
      <c r="H60" s="45" t="s">
        <v>3</v>
      </c>
      <c r="I60" s="46">
        <f>+I57-I59</f>
        <v>14826855</v>
      </c>
      <c r="J60" s="37"/>
      <c r="K60" s="15"/>
    </row>
    <row r="61" spans="2:13" x14ac:dyDescent="0.35">
      <c r="B61" s="12"/>
      <c r="C61" s="37"/>
      <c r="D61" s="60"/>
      <c r="E61" s="37"/>
      <c r="F61" s="38"/>
      <c r="G61" s="39"/>
      <c r="H61" s="45" t="s">
        <v>115</v>
      </c>
      <c r="I61" s="77">
        <v>2640000</v>
      </c>
      <c r="J61" s="37"/>
      <c r="K61" s="15"/>
    </row>
    <row r="62" spans="2:13" x14ac:dyDescent="0.35">
      <c r="B62" s="12"/>
      <c r="C62" s="37"/>
      <c r="D62" s="60"/>
      <c r="E62" s="37"/>
      <c r="F62" s="38"/>
      <c r="G62" s="39"/>
      <c r="H62" s="47" t="s">
        <v>116</v>
      </c>
      <c r="I62" s="32">
        <v>1219319</v>
      </c>
      <c r="J62" s="37"/>
      <c r="K62" s="15"/>
      <c r="M62" s="5"/>
    </row>
    <row r="63" spans="2:13" x14ac:dyDescent="0.35">
      <c r="B63" s="12"/>
      <c r="C63" s="37"/>
      <c r="D63" s="60"/>
      <c r="E63" s="37"/>
      <c r="F63" s="38"/>
      <c r="G63" s="39"/>
      <c r="H63" s="45" t="s">
        <v>4</v>
      </c>
      <c r="I63" s="46">
        <f>SUM(I60:I62)</f>
        <v>18686174</v>
      </c>
      <c r="J63" s="37"/>
      <c r="K63" s="15"/>
    </row>
    <row r="64" spans="2:13" x14ac:dyDescent="0.35">
      <c r="B64" s="12"/>
      <c r="C64" s="37"/>
      <c r="D64" s="60"/>
      <c r="E64" s="37"/>
      <c r="F64" s="38"/>
      <c r="G64" s="39"/>
      <c r="H64" s="45" t="s">
        <v>22</v>
      </c>
      <c r="I64" s="46">
        <f>+I63*19%</f>
        <v>3550373.06</v>
      </c>
      <c r="J64" s="37"/>
      <c r="K64" s="15"/>
    </row>
    <row r="65" spans="2:12" x14ac:dyDescent="0.35">
      <c r="B65" s="12"/>
      <c r="C65" s="37"/>
      <c r="D65" s="60"/>
      <c r="E65" s="37"/>
      <c r="F65" s="38"/>
      <c r="G65" s="39"/>
      <c r="H65" s="36" t="s">
        <v>5</v>
      </c>
      <c r="I65" s="36">
        <f>SUM(I63:I64)</f>
        <v>22236547.059999999</v>
      </c>
      <c r="J65" s="37"/>
      <c r="K65" s="15"/>
    </row>
    <row r="66" spans="2:12" ht="18.75" thickBot="1" x14ac:dyDescent="0.4">
      <c r="B66" s="16"/>
      <c r="C66" s="17"/>
      <c r="D66" s="61"/>
      <c r="E66" s="17"/>
      <c r="F66" s="18"/>
      <c r="G66" s="19"/>
      <c r="H66" s="20"/>
      <c r="I66" s="20"/>
      <c r="J66" s="17"/>
      <c r="K66" s="21"/>
    </row>
    <row r="68" spans="2:12" x14ac:dyDescent="0.35">
      <c r="B68" s="55" t="s">
        <v>24</v>
      </c>
      <c r="C68" s="53"/>
      <c r="D68" s="54"/>
      <c r="E68" s="53"/>
      <c r="F68" s="53"/>
      <c r="G68" s="53"/>
      <c r="H68" s="53"/>
      <c r="I68" s="53"/>
      <c r="J68" s="53"/>
      <c r="K68" s="53"/>
      <c r="L68" s="53"/>
    </row>
    <row r="69" spans="2:12" x14ac:dyDescent="0.35">
      <c r="B69" s="92" t="s">
        <v>25</v>
      </c>
      <c r="C69" s="92"/>
      <c r="D69" s="92"/>
      <c r="E69" s="92"/>
      <c r="F69" s="92"/>
      <c r="G69" s="92"/>
      <c r="H69" s="92"/>
      <c r="I69" s="92"/>
      <c r="J69" s="92"/>
      <c r="K69" s="92"/>
      <c r="L69" s="53"/>
    </row>
    <row r="70" spans="2:12" ht="56.45" customHeight="1" x14ac:dyDescent="0.35">
      <c r="B70" s="91" t="s">
        <v>26</v>
      </c>
      <c r="C70" s="91"/>
      <c r="D70" s="91"/>
      <c r="E70" s="91"/>
      <c r="F70" s="91"/>
      <c r="G70" s="91"/>
      <c r="H70" s="91"/>
      <c r="I70" s="91"/>
      <c r="J70" s="91"/>
      <c r="K70" s="91"/>
      <c r="L70" s="56"/>
    </row>
    <row r="71" spans="2:12" ht="19.149999999999999" customHeight="1" x14ac:dyDescent="0.35">
      <c r="B71" s="80" t="s">
        <v>27</v>
      </c>
      <c r="C71" s="80"/>
      <c r="D71" s="80"/>
      <c r="E71" s="80"/>
      <c r="F71" s="80"/>
      <c r="G71" s="80"/>
      <c r="H71" s="80"/>
      <c r="I71" s="80"/>
      <c r="J71" s="80"/>
      <c r="K71" s="80"/>
      <c r="L71" s="80"/>
    </row>
    <row r="72" spans="2:12" ht="53.45" customHeight="1" x14ac:dyDescent="0.35">
      <c r="B72" s="79" t="s">
        <v>28</v>
      </c>
      <c r="C72" s="79"/>
      <c r="D72" s="79"/>
      <c r="E72" s="79"/>
      <c r="F72" s="79"/>
      <c r="G72" s="79"/>
      <c r="H72" s="79"/>
      <c r="I72" s="79"/>
      <c r="J72" s="79"/>
      <c r="K72" s="79"/>
      <c r="L72" s="56"/>
    </row>
    <row r="73" spans="2:12" x14ac:dyDescent="0.35">
      <c r="B73" s="80" t="s">
        <v>29</v>
      </c>
      <c r="C73" s="80"/>
      <c r="D73" s="80"/>
      <c r="E73" s="80"/>
      <c r="F73" s="80"/>
      <c r="G73" s="80"/>
      <c r="H73" s="80"/>
      <c r="I73" s="80"/>
      <c r="J73" s="80"/>
      <c r="K73" s="80"/>
      <c r="L73" s="80"/>
    </row>
    <row r="74" spans="2:12" ht="47.45" customHeight="1" x14ac:dyDescent="0.35">
      <c r="B74" s="79" t="s">
        <v>30</v>
      </c>
      <c r="C74" s="79"/>
      <c r="D74" s="79"/>
      <c r="E74" s="79"/>
      <c r="F74" s="79"/>
      <c r="G74" s="79"/>
      <c r="H74" s="79"/>
      <c r="I74" s="79"/>
      <c r="J74" s="79"/>
      <c r="K74" s="79"/>
      <c r="L74" s="56"/>
    </row>
    <row r="75" spans="2:12" x14ac:dyDescent="0.35">
      <c r="B75" s="80" t="s">
        <v>31</v>
      </c>
      <c r="C75" s="80"/>
      <c r="D75" s="80"/>
      <c r="E75" s="80"/>
      <c r="F75" s="80"/>
      <c r="G75" s="80"/>
      <c r="H75" s="80"/>
      <c r="I75" s="80"/>
      <c r="J75" s="80"/>
      <c r="K75" s="80"/>
      <c r="L75" s="80"/>
    </row>
    <row r="76" spans="2:12" ht="60" customHeight="1" x14ac:dyDescent="0.35">
      <c r="B76" s="79" t="s">
        <v>32</v>
      </c>
      <c r="C76" s="79"/>
      <c r="D76" s="79"/>
      <c r="E76" s="79"/>
      <c r="F76" s="79"/>
      <c r="G76" s="79"/>
      <c r="H76" s="79"/>
      <c r="I76" s="79"/>
      <c r="J76" s="79"/>
      <c r="K76" s="79"/>
      <c r="L76" s="56"/>
    </row>
    <row r="77" spans="2:12" x14ac:dyDescent="0.35">
      <c r="B77" s="80" t="s">
        <v>33</v>
      </c>
      <c r="C77" s="80"/>
      <c r="D77" s="80"/>
      <c r="E77" s="80"/>
      <c r="F77" s="80"/>
      <c r="G77" s="80"/>
      <c r="H77" s="80"/>
      <c r="I77" s="80"/>
      <c r="J77" s="80"/>
      <c r="K77" s="80"/>
      <c r="L77" s="80"/>
    </row>
    <row r="78" spans="2:12" ht="29.45" customHeight="1" x14ac:dyDescent="0.35">
      <c r="B78" s="79" t="s">
        <v>34</v>
      </c>
      <c r="C78" s="79"/>
      <c r="D78" s="79"/>
      <c r="E78" s="79"/>
      <c r="F78" s="79"/>
      <c r="G78" s="79"/>
      <c r="H78" s="79"/>
      <c r="I78" s="79"/>
      <c r="J78" s="79"/>
      <c r="K78" s="79"/>
      <c r="L78" s="56"/>
    </row>
    <row r="79" spans="2:12" x14ac:dyDescent="0.35">
      <c r="B79" s="80" t="s">
        <v>35</v>
      </c>
      <c r="C79" s="80"/>
      <c r="D79" s="80"/>
      <c r="E79" s="80"/>
      <c r="F79" s="80"/>
      <c r="G79" s="80"/>
      <c r="H79" s="80"/>
      <c r="I79" s="80"/>
      <c r="J79" s="80"/>
      <c r="K79" s="80"/>
      <c r="L79" s="80"/>
    </row>
    <row r="80" spans="2:12" ht="31.9" customHeight="1" x14ac:dyDescent="0.35">
      <c r="B80" s="79" t="s">
        <v>36</v>
      </c>
      <c r="C80" s="79"/>
      <c r="D80" s="79"/>
      <c r="E80" s="79"/>
      <c r="F80" s="79"/>
      <c r="G80" s="79"/>
      <c r="H80" s="79"/>
      <c r="I80" s="79"/>
      <c r="J80" s="79"/>
      <c r="K80" s="79"/>
      <c r="L80" s="56"/>
    </row>
    <row r="81" spans="2:12" x14ac:dyDescent="0.35">
      <c r="B81" s="54"/>
      <c r="C81" s="53"/>
      <c r="D81" s="54"/>
      <c r="E81" s="53"/>
      <c r="F81" s="53"/>
      <c r="G81" s="53"/>
      <c r="H81" s="53"/>
      <c r="I81" s="53"/>
      <c r="J81" s="53"/>
      <c r="K81" s="53"/>
      <c r="L81" s="53"/>
    </row>
    <row r="82" spans="2:12" x14ac:dyDescent="0.35">
      <c r="B82" s="62" t="s">
        <v>38</v>
      </c>
      <c r="C82" s="53"/>
      <c r="D82" s="54"/>
      <c r="E82" s="53"/>
      <c r="F82" s="53"/>
      <c r="G82" s="53"/>
      <c r="H82" s="53"/>
      <c r="I82" s="53"/>
      <c r="J82" s="53"/>
      <c r="K82" s="53"/>
      <c r="L82" s="53"/>
    </row>
    <row r="83" spans="2:12" x14ac:dyDescent="0.35">
      <c r="B83" s="63" t="s">
        <v>39</v>
      </c>
      <c r="C83" s="53"/>
      <c r="D83" s="54"/>
      <c r="E83" s="53"/>
      <c r="F83" s="53"/>
      <c r="G83" s="53"/>
      <c r="H83" s="53"/>
      <c r="I83" s="53"/>
      <c r="J83" s="53"/>
      <c r="K83" s="53"/>
      <c r="L83" s="53"/>
    </row>
  </sheetData>
  <mergeCells count="45">
    <mergeCell ref="D44:D48"/>
    <mergeCell ref="C44:C48"/>
    <mergeCell ref="J44:J48"/>
    <mergeCell ref="C16:C19"/>
    <mergeCell ref="C20:C23"/>
    <mergeCell ref="C24:C27"/>
    <mergeCell ref="C28:C31"/>
    <mergeCell ref="C32:C37"/>
    <mergeCell ref="D38:D40"/>
    <mergeCell ref="C38:C40"/>
    <mergeCell ref="D41:D43"/>
    <mergeCell ref="C41:C43"/>
    <mergeCell ref="J41:J43"/>
    <mergeCell ref="I3:I4"/>
    <mergeCell ref="J3:J4"/>
    <mergeCell ref="H8:I8"/>
    <mergeCell ref="C6:J6"/>
    <mergeCell ref="B77:L77"/>
    <mergeCell ref="H10:I10"/>
    <mergeCell ref="H9:I9"/>
    <mergeCell ref="B70:K70"/>
    <mergeCell ref="B69:K69"/>
    <mergeCell ref="H12:I12"/>
    <mergeCell ref="H11:I11"/>
    <mergeCell ref="D16:D19"/>
    <mergeCell ref="D20:D23"/>
    <mergeCell ref="D24:D27"/>
    <mergeCell ref="D28:D31"/>
    <mergeCell ref="J16:J19"/>
    <mergeCell ref="K20:K23"/>
    <mergeCell ref="B78:K78"/>
    <mergeCell ref="B79:L79"/>
    <mergeCell ref="B80:K80"/>
    <mergeCell ref="B71:L71"/>
    <mergeCell ref="B72:K72"/>
    <mergeCell ref="B73:L73"/>
    <mergeCell ref="B74:K74"/>
    <mergeCell ref="B75:L75"/>
    <mergeCell ref="B76:K76"/>
    <mergeCell ref="J20:J23"/>
    <mergeCell ref="J24:J27"/>
    <mergeCell ref="J28:J31"/>
    <mergeCell ref="D32:D37"/>
    <mergeCell ref="J32:J37"/>
    <mergeCell ref="J38:J40"/>
  </mergeCells>
  <pageMargins left="0.23622047244094491" right="0.23622047244094491" top="0.74803149606299213" bottom="0.74803149606299213" header="0.31496062992125984" footer="0.31496062992125984"/>
  <pageSetup scale="40" fitToWidth="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1 - COT. RESUMEN</vt:lpstr>
      <vt:lpstr>'1 - COT. RESUMEN'!_MailAutoSig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Diseno OH</dc:creator>
  <cp:lastModifiedBy>Ventas Ohffice 2</cp:lastModifiedBy>
  <cp:lastPrinted>2024-06-11T15:32:50Z</cp:lastPrinted>
  <dcterms:created xsi:type="dcterms:W3CDTF">2024-01-17T11:21:43Z</dcterms:created>
  <dcterms:modified xsi:type="dcterms:W3CDTF">2024-06-12T18:23:54Z</dcterms:modified>
</cp:coreProperties>
</file>