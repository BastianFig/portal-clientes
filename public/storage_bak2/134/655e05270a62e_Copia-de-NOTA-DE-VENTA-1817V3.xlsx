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mrive\OneDrive\Documentos\JAIME GONZALEZ\"/>
    </mc:Choice>
  </mc:AlternateContent>
  <xr:revisionPtr revIDLastSave="0" documentId="13_ncr:1_{249A1878-0799-4A11-B736-9C13900F9AA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NOTA VENTA 1817" sheetId="1" r:id="rId1"/>
    <sheet name="GUIAS" sheetId="2" r:id="rId2"/>
  </sheets>
  <definedNames>
    <definedName name="_xlnm._FilterDatabase" localSheetId="0" hidden="1">'NOTA VENTA 1817'!$A$1:$O$46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1" i="1" l="1"/>
  <c r="O52" i="1"/>
  <c r="O53" i="1"/>
  <c r="O54" i="1"/>
  <c r="O55" i="1"/>
  <c r="O56" i="1"/>
  <c r="O57" i="1"/>
  <c r="O59" i="1"/>
  <c r="O60" i="1"/>
  <c r="N5" i="1" l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" i="1"/>
  <c r="L5" i="1"/>
  <c r="L6" i="1"/>
  <c r="O6" i="1" s="1"/>
  <c r="L7" i="1"/>
  <c r="L8" i="1"/>
  <c r="L9" i="1"/>
  <c r="L10" i="1"/>
  <c r="O10" i="1" s="1"/>
  <c r="L11" i="1"/>
  <c r="O11" i="1" s="1"/>
  <c r="L12" i="1"/>
  <c r="O12" i="1" s="1"/>
  <c r="L13" i="1"/>
  <c r="L14" i="1"/>
  <c r="L15" i="1"/>
  <c r="L16" i="1"/>
  <c r="L17" i="1"/>
  <c r="L18" i="1"/>
  <c r="O18" i="1" s="1"/>
  <c r="L19" i="1"/>
  <c r="L20" i="1"/>
  <c r="L21" i="1"/>
  <c r="L22" i="1"/>
  <c r="O22" i="1" s="1"/>
  <c r="L23" i="1"/>
  <c r="L24" i="1"/>
  <c r="O24" i="1" s="1"/>
  <c r="L25" i="1"/>
  <c r="L26" i="1"/>
  <c r="L27" i="1"/>
  <c r="L28" i="1"/>
  <c r="L29" i="1"/>
  <c r="L30" i="1"/>
  <c r="L31" i="1"/>
  <c r="L32" i="1"/>
  <c r="L33" i="1"/>
  <c r="L34" i="1"/>
  <c r="O34" i="1" s="1"/>
  <c r="L35" i="1"/>
  <c r="L36" i="1"/>
  <c r="L37" i="1"/>
  <c r="O37" i="1" s="1"/>
  <c r="L38" i="1"/>
  <c r="L39" i="1"/>
  <c r="L40" i="1"/>
  <c r="L41" i="1"/>
  <c r="L42" i="1"/>
  <c r="L43" i="1"/>
  <c r="L44" i="1"/>
  <c r="L45" i="1"/>
  <c r="L46" i="1"/>
  <c r="L4" i="1"/>
  <c r="O36" i="1" l="1"/>
  <c r="O23" i="1"/>
  <c r="O42" i="1"/>
  <c r="O30" i="1"/>
  <c r="O4" i="1"/>
  <c r="O15" i="1"/>
  <c r="O45" i="1"/>
  <c r="O33" i="1"/>
  <c r="O21" i="1"/>
  <c r="O9" i="1"/>
  <c r="O31" i="1"/>
  <c r="O7" i="1"/>
  <c r="O19" i="1"/>
  <c r="O29" i="1"/>
  <c r="O17" i="1"/>
  <c r="O5" i="1"/>
  <c r="O46" i="1"/>
  <c r="O41" i="1"/>
  <c r="O16" i="1"/>
  <c r="O35" i="1"/>
  <c r="O40" i="1"/>
  <c r="O28" i="1"/>
  <c r="O44" i="1"/>
  <c r="O20" i="1"/>
  <c r="O8" i="1"/>
  <c r="O39" i="1"/>
  <c r="O27" i="1"/>
  <c r="O32" i="1"/>
  <c r="O38" i="1"/>
  <c r="O14" i="1"/>
  <c r="O25" i="1"/>
  <c r="O13" i="1"/>
  <c r="O43" i="1"/>
  <c r="O26" i="1"/>
</calcChain>
</file>

<file path=xl/sharedStrings.xml><?xml version="1.0" encoding="utf-8"?>
<sst xmlns="http://schemas.openxmlformats.org/spreadsheetml/2006/main" count="688" uniqueCount="113">
  <si>
    <t>CodProd</t>
  </si>
  <si>
    <t>DesProd</t>
  </si>
  <si>
    <t>NVNumero</t>
  </si>
  <si>
    <t>VenCod</t>
  </si>
  <si>
    <t>nvEstado</t>
  </si>
  <si>
    <t>nvLinea</t>
  </si>
  <si>
    <t>nvFem</t>
  </si>
  <si>
    <t>CodGrupo</t>
  </si>
  <si>
    <t>CodSubGr</t>
  </si>
  <si>
    <t>Inventariable</t>
  </si>
  <si>
    <t>nvCant</t>
  </si>
  <si>
    <t>CF3607001.086</t>
  </si>
  <si>
    <t>POLTRONA DUO(36174)_4 PATAS MADERA_(CEC) VERMELHO</t>
  </si>
  <si>
    <t>LCR</t>
  </si>
  <si>
    <t>A</t>
  </si>
  <si>
    <t>02</t>
  </si>
  <si>
    <t>CAV</t>
  </si>
  <si>
    <t>01</t>
  </si>
  <si>
    <t>MO1180136.24</t>
  </si>
  <si>
    <t>MESA TALK (11801)_EST BLANCO ULTRA MATE_CUBIERTA ELMO SUIZO</t>
  </si>
  <si>
    <t>03</t>
  </si>
  <si>
    <t>CF3320601.117</t>
  </si>
  <si>
    <t>SILLA FIJA STAY(32206)_PIE MADERA_PLAST BLANCO Y ASTO NARANJ</t>
  </si>
  <si>
    <t>SB0368171.997</t>
  </si>
  <si>
    <t>SOFA SPIN MOD RECTO(36814)_(VNL) EST ROJO_ASTO Y RESP BEIGE</t>
  </si>
  <si>
    <t>SB3686568.997</t>
  </si>
  <si>
    <t xml:space="preserve">MODULO RECTO 36.865 -650MM -ALTURA 820MM XPROFUNDIDAD 650MM </t>
  </si>
  <si>
    <t>FG.183</t>
  </si>
  <si>
    <t>MACETERO REDONDO FIBRA DE VIDRIO 60X50X30</t>
  </si>
  <si>
    <t/>
  </si>
  <si>
    <t>FG.121</t>
  </si>
  <si>
    <t>MACETERO RECTANGULAR FIBRA DE VIDRIO_60X30X30</t>
  </si>
  <si>
    <t>SB0900282.125</t>
  </si>
  <si>
    <t>POUF SPIN HEXAGONAL REGULAR BAJO_(VNL) EST GRAFITO Y ASTO AZ</t>
  </si>
  <si>
    <t>SB0900282.117</t>
  </si>
  <si>
    <t>POUF SPIN HEXAGONAL REGULAR BAJO_(VNL) EST GRAFITO Y ASTO NA</t>
  </si>
  <si>
    <t>HR.MESBL01</t>
  </si>
  <si>
    <t>MESA LATERAL CUP_ BLANCA</t>
  </si>
  <si>
    <t>SB0368183.997</t>
  </si>
  <si>
    <t>SB0368182.997</t>
  </si>
  <si>
    <t>SOFA SPIN MOD RECTO(36814)_(VNL) EST GRAFITO_RESP Y ASTO AZU</t>
  </si>
  <si>
    <t>SERV_T61</t>
  </si>
  <si>
    <t xml:space="preserve">SERVICIO FLETE PUCV </t>
  </si>
  <si>
    <t>14</t>
  </si>
  <si>
    <t>CF3607001.194</t>
  </si>
  <si>
    <t>POLTRONA DUO(36174)_4 PATAS MADERA_(CEC) FENDI</t>
  </si>
  <si>
    <t>MO1180121.24</t>
  </si>
  <si>
    <t>MESA TALK 11801_ESTR GRAFITO_CUBIERTA ELMO SUIZO</t>
  </si>
  <si>
    <t>CF3320601.125</t>
  </si>
  <si>
    <t>SILLA FIJA STAY(33206) PIE MADERA_PLA BLANCO Y ASTO(VNL)AZUL</t>
  </si>
  <si>
    <t>CF3320603.117</t>
  </si>
  <si>
    <t>SILLA FIJA STAY( 33206 ) PIE MADERA_PLAS GRIS Y ASTO NARANJA</t>
  </si>
  <si>
    <t>CF3320603.125</t>
  </si>
  <si>
    <t>SILLA FIJA STAY(33206)_PIE MADERA_PLAS GRIS Y ASTO AZUL</t>
  </si>
  <si>
    <t>SB0368176.997</t>
  </si>
  <si>
    <t>SOFA SPIN MOD RECTO(36814)_(VNL) EST Y ASTO GRAFITO_RESP AZU</t>
  </si>
  <si>
    <t>SB0368174.997</t>
  </si>
  <si>
    <t xml:space="preserve">SOFA SPIN MOD RECTO(36814)_(VNL) EST GRAFITO_RESP Y ASTO AZ </t>
  </si>
  <si>
    <t>SB0368181.997</t>
  </si>
  <si>
    <t>SB0368173.997</t>
  </si>
  <si>
    <t>SOFA SPIN MOD RECTO(36814)_(VNL) EST Y RESP GRAF Y ASTO AZUL</t>
  </si>
  <si>
    <t>SB0368177.997</t>
  </si>
  <si>
    <t>SB0368141.195</t>
  </si>
  <si>
    <t>SOFA SPIN MOD RECTO(36814)_(VNL) EST ASTO Y RESP GRAFITO</t>
  </si>
  <si>
    <t>SB0368170.997</t>
  </si>
  <si>
    <t>SOFA SPIN MOD RECTO (36814)_(VNL) EST GRAFITO_(VNL) ASTO Y R</t>
  </si>
  <si>
    <t>SB0368179.997</t>
  </si>
  <si>
    <t>SOFA SPIN MOD RECTO(36814)_(VNL) EST GRAFITO_ASTO Y RESP NAR</t>
  </si>
  <si>
    <t>SB0368180.997</t>
  </si>
  <si>
    <t>SB0368175.997</t>
  </si>
  <si>
    <t>SOFA SPIN MOD RECTO(36814)_(VNL)EST Y ASTO GRAFITO_RESP NARA</t>
  </si>
  <si>
    <t>SB0368169.997</t>
  </si>
  <si>
    <t xml:space="preserve">SOFA SPIN MOD RECTO (36814)_(VNL) EST Y ASTO GRAFITO_(VNL) </t>
  </si>
  <si>
    <t>SB0368178.997</t>
  </si>
  <si>
    <t>SOFA SPIN MOD RECTO(36814)_(VNL) EST Y RESP GRAFITO_ASTO NAR</t>
  </si>
  <si>
    <t>SB0368172.997</t>
  </si>
  <si>
    <t>SB0900283.117</t>
  </si>
  <si>
    <t>POUF SPIN HEXAGONAL REGULAR MEDI_(VNL) EST GRAFITO Y ASTO NA</t>
  </si>
  <si>
    <t>Tipo</t>
  </si>
  <si>
    <t>Folio</t>
  </si>
  <si>
    <t>Concepto</t>
  </si>
  <si>
    <t>DesCodDr</t>
  </si>
  <si>
    <t>Estado</t>
  </si>
  <si>
    <t>CodVendedor</t>
  </si>
  <si>
    <t>Fecha</t>
  </si>
  <si>
    <t>CodAux</t>
  </si>
  <si>
    <t>CentroDeCosto</t>
  </si>
  <si>
    <t>Linea</t>
  </si>
  <si>
    <t>CantIngresada</t>
  </si>
  <si>
    <t>CantDespachada</t>
  </si>
  <si>
    <t>PreUniMB</t>
  </si>
  <si>
    <t>PorcDescMov01</t>
  </si>
  <si>
    <t>TotalDescMov</t>
  </si>
  <si>
    <t>TotLinea</t>
  </si>
  <si>
    <t>S</t>
  </si>
  <si>
    <t>Despacho por Facturar</t>
  </si>
  <si>
    <t>V</t>
  </si>
  <si>
    <t>816692008</t>
  </si>
  <si>
    <t>03-01817</t>
  </si>
  <si>
    <t>GUIAS DESPACHADAS</t>
  </si>
  <si>
    <t>PDTE DESPACHO</t>
  </si>
  <si>
    <t>NOTA DE VENTA 1817 Y SUS GUIAS</t>
  </si>
  <si>
    <t>RESUMEN PRODUCTOS PENDIENTES DE DESPACHO</t>
  </si>
  <si>
    <t>Pdte-Desapcho</t>
  </si>
  <si>
    <t>SB0368183.997 = ítem 11 y 19 ambos solicitan 1 und cada uno pero fisicamente llego de Cavaletti 1 sola und ERAN 2, 1 un SIN PUERTO USB Y 1 un CON USB EN LADO DERECHO, ERROR CAVALETTI</t>
  </si>
  <si>
    <t>SB0368176.997 = ítem 20 – 36-40 todos ellos solicitan 1 und cada uno pero fisicamente llego de Cavaletti 1 sola und ESTÁ OK, ES 1 UNIDAD DE BASE Y ASIENTO GRAFITO RESPALDO AZUL CON USB EN LADO DERECHO. ESTÁN MAL LOS CODIGOS DE NV</t>
  </si>
  <si>
    <t>SB0368177.997  = ítem 25 y 41 ambos solicitan 1 und cada uno pero fisicamente llego de Cavaletti 1 und ERA 1 un CON USB EN LADO DERECHO, ESTÁN MAL LOS CÓDIGOS DE NV</t>
  </si>
  <si>
    <t>SB0368178.997 = ítem 32y 39 ambos solicitan 1 und cada uno pero fisicamente llego de Cavaletti 1 und ERA 1 un CON USB EN LADO IZQUIERDO Y 1 un SIN USB, ERROR DE CAVALETTI</t>
  </si>
  <si>
    <t>SB0368179.997 = ítem 28 y 38 ambos solicitan 1 und cada uno pero físicamente llego de Cavaletti 1 und ERA 1 un CON USB IZQUIERDO Y 1 un CON USB DERECHO, ERROR DE CAVALETTI</t>
  </si>
  <si>
    <t>SB0368180.997 = ítem 29 y 42 ambos solicitan 1 und cada uno pero fisicamente llego de Cavaletti 1 und ERA 1 un CON USB LADO DERECHO Y 1 un CON USB LADO IZQUIERDO, ERROR DE CAVALETTI</t>
  </si>
  <si>
    <t>SB0368181.997 = ítem 23 y 37 ambos solicitan 2 unds cada uno pero solo llego 1 und fisicamente aunque  venia informado que eran 2 unds , se dio aviso de inmediato a gerencia y aun Cavaletti no lo ha repuesto  ERA 1 UNIDAD, VER CURSE, ESTÁN MAL CODIGOS DE NV</t>
  </si>
  <si>
    <t>SB0368175.997 = ítem 30 y 43 ambos solicitan 1 und cada uno pero fisicamente llego de Cavaletti 1 und ERA 1 un CON USB EN LADO IZQUIERDO Y 2 un SIN USB, ERROR DE CAVALETTI</t>
  </si>
  <si>
    <t>OBS.LORETO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</si>
</sst>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2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52">
    <xf numFmtId="0" fontId="0" fillId="0" borderId="0" xfId="0"/>
    <xf numFmtId="0" fontId="1" fillId="2" borderId="1" xfId="2" applyFont="1" applyFill="1" applyBorder="1" applyAlignment="1">
      <alignment horizontal="center"/>
    </xf>
    <xf numFmtId="0" fontId="1" fillId="3" borderId="2" xfId="2" applyFont="1" applyFill="1" applyBorder="1" applyAlignment="1">
      <alignment wrapText="1"/>
    </xf>
    <xf numFmtId="0" fontId="1" fillId="3" borderId="2" xfId="2" applyFont="1" applyFill="1" applyBorder="1" applyAlignment="1">
      <alignment horizontal="right" wrapText="1"/>
    </xf>
    <xf numFmtId="15" fontId="1" fillId="3" borderId="2" xfId="2" applyNumberFormat="1" applyFont="1" applyFill="1" applyBorder="1" applyAlignment="1">
      <alignment horizontal="right" wrapText="1"/>
    </xf>
    <xf numFmtId="0" fontId="1" fillId="4" borderId="2" xfId="2" applyFont="1" applyFill="1" applyBorder="1" applyAlignment="1">
      <alignment wrapText="1"/>
    </xf>
    <xf numFmtId="0" fontId="1" fillId="4" borderId="2" xfId="2" applyFont="1" applyFill="1" applyBorder="1" applyAlignment="1">
      <alignment horizontal="right" wrapText="1"/>
    </xf>
    <xf numFmtId="15" fontId="1" fillId="4" borderId="2" xfId="2" applyNumberFormat="1" applyFont="1" applyFill="1" applyBorder="1" applyAlignment="1">
      <alignment horizontal="right" wrapText="1"/>
    </xf>
    <xf numFmtId="0" fontId="1" fillId="5" borderId="2" xfId="2" applyFont="1" applyFill="1" applyBorder="1" applyAlignment="1">
      <alignment wrapText="1"/>
    </xf>
    <xf numFmtId="0" fontId="1" fillId="5" borderId="2" xfId="2" applyFont="1" applyFill="1" applyBorder="1" applyAlignment="1">
      <alignment horizontal="right" wrapText="1"/>
    </xf>
    <xf numFmtId="15" fontId="1" fillId="5" borderId="2" xfId="2" applyNumberFormat="1" applyFont="1" applyFill="1" applyBorder="1" applyAlignment="1">
      <alignment horizontal="right" wrapText="1"/>
    </xf>
    <xf numFmtId="0" fontId="1" fillId="2" borderId="4" xfId="2" applyFont="1" applyFill="1" applyBorder="1" applyAlignment="1">
      <alignment horizontal="center"/>
    </xf>
    <xf numFmtId="0" fontId="1" fillId="3" borderId="5" xfId="2" applyFont="1" applyFill="1" applyBorder="1" applyAlignment="1">
      <alignment horizontal="right" wrapText="1"/>
    </xf>
    <xf numFmtId="0" fontId="1" fillId="4" borderId="5" xfId="2" applyFont="1" applyFill="1" applyBorder="1" applyAlignment="1">
      <alignment horizontal="right" wrapText="1"/>
    </xf>
    <xf numFmtId="0" fontId="1" fillId="5" borderId="5" xfId="2" applyFont="1" applyFill="1" applyBorder="1" applyAlignment="1">
      <alignment horizontal="right" wrapText="1"/>
    </xf>
    <xf numFmtId="0" fontId="1" fillId="2" borderId="6" xfId="2" applyFont="1" applyFill="1" applyBorder="1" applyAlignment="1">
      <alignment horizontal="center"/>
    </xf>
    <xf numFmtId="0" fontId="1" fillId="3" borderId="7" xfId="2" applyFont="1" applyFill="1" applyBorder="1" applyAlignment="1">
      <alignment horizontal="right" wrapText="1"/>
    </xf>
    <xf numFmtId="0" fontId="1" fillId="4" borderId="7" xfId="2" applyFont="1" applyFill="1" applyBorder="1" applyAlignment="1">
      <alignment horizontal="right" wrapText="1"/>
    </xf>
    <xf numFmtId="0" fontId="1" fillId="5" borderId="7" xfId="2" applyFont="1" applyFill="1" applyBorder="1" applyAlignment="1">
      <alignment horizontal="right" wrapText="1"/>
    </xf>
    <xf numFmtId="0" fontId="1" fillId="2" borderId="3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11" xfId="0" applyNumberFormat="1" applyFont="1" applyFill="1" applyBorder="1" applyAlignment="1" applyProtection="1">
      <alignment horizontal="right" wrapText="1"/>
    </xf>
    <xf numFmtId="0" fontId="1" fillId="0" borderId="11" xfId="0" applyNumberFormat="1" applyFont="1" applyFill="1" applyBorder="1" applyAlignment="1" applyProtection="1">
      <alignment horizontal="center" wrapText="1"/>
    </xf>
    <xf numFmtId="0" fontId="1" fillId="0" borderId="11" xfId="0" applyNumberFormat="1" applyFont="1" applyFill="1" applyBorder="1" applyAlignment="1" applyProtection="1">
      <alignment wrapText="1"/>
    </xf>
    <xf numFmtId="14" fontId="1" fillId="0" borderId="11" xfId="0" applyNumberFormat="1" applyFont="1" applyFill="1" applyBorder="1" applyAlignment="1" applyProtection="1">
      <alignment horizontal="center" wrapText="1"/>
    </xf>
    <xf numFmtId="0" fontId="1" fillId="0" borderId="3" xfId="1" applyFont="1" applyFill="1" applyBorder="1" applyAlignment="1">
      <alignment horizontal="center"/>
    </xf>
    <xf numFmtId="0" fontId="1" fillId="0" borderId="12" xfId="0" applyNumberFormat="1" applyFont="1" applyFill="1" applyBorder="1" applyAlignment="1" applyProtection="1">
      <alignment horizontal="center" wrapText="1"/>
    </xf>
    <xf numFmtId="0" fontId="1" fillId="0" borderId="13" xfId="0" applyNumberFormat="1" applyFont="1" applyFill="1" applyBorder="1" applyAlignment="1" applyProtection="1">
      <alignment horizontal="center" wrapText="1"/>
    </xf>
    <xf numFmtId="0" fontId="1" fillId="0" borderId="11" xfId="0" applyNumberFormat="1" applyFont="1" applyFill="1" applyBorder="1" applyAlignment="1" applyProtection="1">
      <alignment horizontal="left" wrapText="1"/>
    </xf>
    <xf numFmtId="0" fontId="3" fillId="0" borderId="11" xfId="0" applyNumberFormat="1" applyFont="1" applyFill="1" applyBorder="1" applyAlignment="1" applyProtection="1">
      <alignment horizontal="right" wrapText="1"/>
    </xf>
    <xf numFmtId="0" fontId="3" fillId="0" borderId="11" xfId="0" applyNumberFormat="1" applyFont="1" applyFill="1" applyBorder="1" applyAlignment="1" applyProtection="1">
      <alignment wrapText="1"/>
    </xf>
    <xf numFmtId="0" fontId="0" fillId="0" borderId="0" xfId="0" applyFill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1" fillId="0" borderId="3" xfId="1" applyFont="1" applyFill="1" applyBorder="1" applyAlignment="1">
      <alignment horizontal="center" wrapText="1"/>
    </xf>
    <xf numFmtId="0" fontId="1" fillId="0" borderId="3" xfId="2" applyFont="1" applyFill="1" applyBorder="1" applyAlignment="1">
      <alignment horizontal="center" wrapText="1"/>
    </xf>
    <xf numFmtId="14" fontId="1" fillId="0" borderId="3" xfId="2" applyNumberFormat="1" applyFont="1" applyFill="1" applyBorder="1" applyAlignment="1">
      <alignment horizontal="center" wrapText="1"/>
    </xf>
    <xf numFmtId="0" fontId="0" fillId="0" borderId="0" xfId="0" applyFill="1" applyAlignment="1">
      <alignment horizontal="left"/>
    </xf>
    <xf numFmtId="0" fontId="0" fillId="0" borderId="3" xfId="0" applyFill="1" applyBorder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0" fillId="0" borderId="14" xfId="0" applyFill="1" applyBorder="1" applyAlignment="1">
      <alignment horizontal="center" wrapText="1"/>
    </xf>
    <xf numFmtId="0" fontId="4" fillId="0" borderId="3" xfId="0" applyFont="1" applyBorder="1" applyAlignment="1">
      <alignment vertical="center" wrapText="1"/>
    </xf>
    <xf numFmtId="0" fontId="1" fillId="3" borderId="3" xfId="2" applyFont="1" applyFill="1" applyBorder="1" applyAlignment="1">
      <alignment horizontal="center" wrapText="1"/>
    </xf>
    <xf numFmtId="0" fontId="1" fillId="4" borderId="3" xfId="2" applyFont="1" applyFill="1" applyBorder="1" applyAlignment="1">
      <alignment horizontal="center" wrapText="1"/>
    </xf>
    <xf numFmtId="0" fontId="1" fillId="5" borderId="3" xfId="2" applyFont="1" applyFill="1" applyBorder="1" applyAlignment="1">
      <alignment horizontal="center" wrapText="1"/>
    </xf>
    <xf numFmtId="0" fontId="1" fillId="0" borderId="3" xfId="1" applyFont="1" applyFill="1" applyBorder="1" applyAlignment="1">
      <alignment horizontal="left"/>
    </xf>
    <xf numFmtId="0" fontId="1" fillId="0" borderId="3" xfId="2" applyFont="1" applyFill="1" applyBorder="1" applyAlignment="1">
      <alignment horizontal="left" wrapText="1"/>
    </xf>
    <xf numFmtId="0" fontId="1" fillId="0" borderId="3" xfId="1" applyFont="1" applyFill="1" applyBorder="1" applyAlignment="1">
      <alignment horizontal="left" wrapText="1"/>
    </xf>
    <xf numFmtId="0" fontId="5" fillId="0" borderId="0" xfId="0" applyFont="1" applyFill="1" applyAlignment="1">
      <alignment horizontal="left"/>
    </xf>
  </cellXfs>
  <cellStyles count="3">
    <cellStyle name="Normal" xfId="0" builtinId="0"/>
    <cellStyle name="Normal_GUIAS" xfId="2" xr:uid="{00000000-0005-0000-0000-000001000000}"/>
    <cellStyle name="Normal_Hoja1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"/>
  <sheetViews>
    <sheetView tabSelected="1" zoomScaleNormal="100" workbookViewId="0">
      <selection activeCell="B6" sqref="B6"/>
    </sheetView>
  </sheetViews>
  <sheetFormatPr baseColWidth="10" defaultColWidth="11.44140625" defaultRowHeight="28.2" customHeight="1" x14ac:dyDescent="0.3"/>
  <cols>
    <col min="1" max="1" width="14" style="32" customWidth="1"/>
    <col min="2" max="2" width="61.88671875" style="39" customWidth="1"/>
    <col min="3" max="3" width="7.77734375" style="32" customWidth="1"/>
    <col min="4" max="4" width="7.33203125" style="32" bestFit="1" customWidth="1"/>
    <col min="5" max="5" width="8.44140625" style="32" bestFit="1" customWidth="1"/>
    <col min="6" max="6" width="8.33203125" style="32" customWidth="1"/>
    <col min="7" max="7" width="10.33203125" style="32" bestFit="1" customWidth="1"/>
    <col min="8" max="8" width="9.21875" style="32" bestFit="1" customWidth="1"/>
    <col min="9" max="9" width="9" style="32" bestFit="1" customWidth="1"/>
    <col min="10" max="10" width="11.6640625" style="32" bestFit="1" customWidth="1"/>
    <col min="11" max="11" width="6.6640625" style="32" bestFit="1" customWidth="1"/>
    <col min="12" max="12" width="10.33203125" style="32" customWidth="1"/>
    <col min="13" max="13" width="10.109375" style="32" customWidth="1"/>
    <col min="14" max="14" width="12" style="32" customWidth="1"/>
    <col min="15" max="15" width="11.6640625" style="32" customWidth="1"/>
    <col min="16" max="16" width="53.33203125" style="32" customWidth="1"/>
    <col min="17" max="16384" width="11.44140625" style="32"/>
  </cols>
  <sheetData>
    <row r="1" spans="1:16" ht="34.799999999999997" customHeight="1" thickBot="1" x14ac:dyDescent="0.75">
      <c r="A1" s="51" t="s">
        <v>101</v>
      </c>
    </row>
    <row r="2" spans="1:16" ht="28.2" customHeight="1" x14ac:dyDescent="0.3">
      <c r="L2" s="33" t="s">
        <v>99</v>
      </c>
      <c r="M2" s="34"/>
      <c r="N2" s="35"/>
      <c r="O2" s="21"/>
    </row>
    <row r="3" spans="1:16" ht="28.2" customHeight="1" x14ac:dyDescent="0.3">
      <c r="A3" s="26" t="s">
        <v>0</v>
      </c>
      <c r="B3" s="48" t="s">
        <v>1</v>
      </c>
      <c r="C3" s="26" t="s">
        <v>2</v>
      </c>
      <c r="D3" s="26" t="s">
        <v>3</v>
      </c>
      <c r="E3" s="26" t="s">
        <v>4</v>
      </c>
      <c r="F3" s="26" t="s">
        <v>5</v>
      </c>
      <c r="G3" s="26" t="s">
        <v>6</v>
      </c>
      <c r="H3" s="26" t="s">
        <v>7</v>
      </c>
      <c r="I3" s="26" t="s">
        <v>8</v>
      </c>
      <c r="J3" s="26" t="s">
        <v>9</v>
      </c>
      <c r="K3" s="26" t="s">
        <v>10</v>
      </c>
      <c r="L3" s="26">
        <v>7273</v>
      </c>
      <c r="M3" s="26">
        <v>7465</v>
      </c>
      <c r="N3" s="26">
        <v>7466</v>
      </c>
      <c r="O3" s="36" t="s">
        <v>100</v>
      </c>
      <c r="P3" s="21"/>
    </row>
    <row r="4" spans="1:16" ht="28.2" customHeight="1" x14ac:dyDescent="0.3">
      <c r="A4" s="37" t="s">
        <v>11</v>
      </c>
      <c r="B4" s="49" t="s">
        <v>12</v>
      </c>
      <c r="C4" s="37">
        <v>1817</v>
      </c>
      <c r="D4" s="37" t="s">
        <v>13</v>
      </c>
      <c r="E4" s="37" t="s">
        <v>14</v>
      </c>
      <c r="F4" s="37">
        <v>1</v>
      </c>
      <c r="G4" s="38">
        <v>44295</v>
      </c>
      <c r="H4" s="37" t="s">
        <v>15</v>
      </c>
      <c r="I4" s="37" t="s">
        <v>16</v>
      </c>
      <c r="J4" s="37">
        <v>-1</v>
      </c>
      <c r="K4" s="37">
        <v>6</v>
      </c>
      <c r="L4" s="37">
        <f>IFERROR(VLOOKUP(A4,GUIAS!$A$2:$R$6,4,0),0)</f>
        <v>0</v>
      </c>
      <c r="M4" s="37">
        <f>IFERROR(VLOOKUP(A4,GUIAS!$A$7:$R$21,4,0),0)</f>
        <v>6</v>
      </c>
      <c r="N4" s="36">
        <f>IFERROR(VLOOKUP(A4,GUIAS!$A$22:$R$36,4,0),0)</f>
        <v>0</v>
      </c>
      <c r="O4" s="36">
        <f>K4-L4-M4-N4</f>
        <v>0</v>
      </c>
    </row>
    <row r="5" spans="1:16" ht="28.2" customHeight="1" x14ac:dyDescent="0.3">
      <c r="A5" s="37" t="s">
        <v>18</v>
      </c>
      <c r="B5" s="49" t="s">
        <v>19</v>
      </c>
      <c r="C5" s="37">
        <v>1817</v>
      </c>
      <c r="D5" s="37" t="s">
        <v>13</v>
      </c>
      <c r="E5" s="37" t="s">
        <v>14</v>
      </c>
      <c r="F5" s="37">
        <v>2</v>
      </c>
      <c r="G5" s="38">
        <v>44295</v>
      </c>
      <c r="H5" s="37" t="s">
        <v>20</v>
      </c>
      <c r="I5" s="37" t="s">
        <v>16</v>
      </c>
      <c r="J5" s="37">
        <v>-1</v>
      </c>
      <c r="K5" s="37">
        <v>3</v>
      </c>
      <c r="L5" s="37">
        <f>IFERROR(VLOOKUP(A5,GUIAS!$A$2:$R$6,4,0),0)</f>
        <v>0</v>
      </c>
      <c r="M5" s="37">
        <f>IFERROR(VLOOKUP(A5,GUIAS!$A$7:$R$21,4,0),0)</f>
        <v>3</v>
      </c>
      <c r="N5" s="36">
        <f>IFERROR(VLOOKUP(A5,GUIAS!$A$22:$R$36,4,0),0)</f>
        <v>0</v>
      </c>
      <c r="O5" s="36">
        <f t="shared" ref="O5:O46" si="0">K5-L5-M5-N5</f>
        <v>0</v>
      </c>
    </row>
    <row r="6" spans="1:16" ht="28.2" customHeight="1" x14ac:dyDescent="0.3">
      <c r="A6" s="37" t="s">
        <v>21</v>
      </c>
      <c r="B6" s="49" t="s">
        <v>22</v>
      </c>
      <c r="C6" s="37">
        <v>1817</v>
      </c>
      <c r="D6" s="37" t="s">
        <v>13</v>
      </c>
      <c r="E6" s="37" t="s">
        <v>14</v>
      </c>
      <c r="F6" s="37">
        <v>3</v>
      </c>
      <c r="G6" s="38">
        <v>44295</v>
      </c>
      <c r="H6" s="37" t="s">
        <v>17</v>
      </c>
      <c r="I6" s="37" t="s">
        <v>16</v>
      </c>
      <c r="J6" s="37">
        <v>-1</v>
      </c>
      <c r="K6" s="37">
        <v>2</v>
      </c>
      <c r="L6" s="37">
        <f>IFERROR(VLOOKUP(A6,GUIAS!$A$2:$R$6,4,0),0)</f>
        <v>0</v>
      </c>
      <c r="M6" s="37">
        <f>IFERROR(VLOOKUP(A6,GUIAS!$A$7:$R$21,4,0),0)</f>
        <v>2</v>
      </c>
      <c r="N6" s="36">
        <f>IFERROR(VLOOKUP(A6,GUIAS!$A$22:$R$36,4,0),0)</f>
        <v>0</v>
      </c>
      <c r="O6" s="36">
        <f t="shared" si="0"/>
        <v>0</v>
      </c>
    </row>
    <row r="7" spans="1:16" ht="28.2" customHeight="1" x14ac:dyDescent="0.3">
      <c r="A7" s="37" t="s">
        <v>23</v>
      </c>
      <c r="B7" s="49" t="s">
        <v>24</v>
      </c>
      <c r="C7" s="37">
        <v>1817</v>
      </c>
      <c r="D7" s="37" t="s">
        <v>13</v>
      </c>
      <c r="E7" s="37" t="s">
        <v>14</v>
      </c>
      <c r="F7" s="37">
        <v>4</v>
      </c>
      <c r="G7" s="38">
        <v>44295</v>
      </c>
      <c r="H7" s="37" t="s">
        <v>15</v>
      </c>
      <c r="I7" s="37" t="s">
        <v>16</v>
      </c>
      <c r="J7" s="37">
        <v>-1</v>
      </c>
      <c r="K7" s="37">
        <v>2</v>
      </c>
      <c r="L7" s="37">
        <f>IFERROR(VLOOKUP(A7,GUIAS!$A$2:$R$6,4,0),0)</f>
        <v>0</v>
      </c>
      <c r="M7" s="37">
        <f>IFERROR(VLOOKUP(A7,GUIAS!$A$7:$R$21,4,0),0)</f>
        <v>2</v>
      </c>
      <c r="N7" s="36">
        <f>IFERROR(VLOOKUP(A7,GUIAS!$A$22:$R$36,4,0),0)</f>
        <v>0</v>
      </c>
      <c r="O7" s="36">
        <f t="shared" si="0"/>
        <v>0</v>
      </c>
    </row>
    <row r="8" spans="1:16" ht="28.2" customHeight="1" x14ac:dyDescent="0.3">
      <c r="A8" s="37" t="s">
        <v>25</v>
      </c>
      <c r="B8" s="49" t="s">
        <v>26</v>
      </c>
      <c r="C8" s="37">
        <v>1817</v>
      </c>
      <c r="D8" s="37" t="s">
        <v>13</v>
      </c>
      <c r="E8" s="37" t="s">
        <v>14</v>
      </c>
      <c r="F8" s="37">
        <v>5</v>
      </c>
      <c r="G8" s="38">
        <v>44295</v>
      </c>
      <c r="H8" s="37" t="s">
        <v>15</v>
      </c>
      <c r="I8" s="37" t="s">
        <v>16</v>
      </c>
      <c r="J8" s="37">
        <v>-1</v>
      </c>
      <c r="K8" s="37">
        <v>2</v>
      </c>
      <c r="L8" s="37">
        <f>IFERROR(VLOOKUP(A8,GUIAS!$A$2:$R$6,4,0),0)</f>
        <v>0</v>
      </c>
      <c r="M8" s="37">
        <f>IFERROR(VLOOKUP(A8,GUIAS!$A$7:$R$21,4,0),0)</f>
        <v>0</v>
      </c>
      <c r="N8" s="37">
        <f>IFERROR(VLOOKUP(A8,GUIAS!$A$22:$R$36,4,0),0)</f>
        <v>2</v>
      </c>
      <c r="O8" s="36">
        <f t="shared" si="0"/>
        <v>0</v>
      </c>
    </row>
    <row r="9" spans="1:16" ht="28.2" customHeight="1" x14ac:dyDescent="0.3">
      <c r="A9" s="36" t="s">
        <v>27</v>
      </c>
      <c r="B9" s="50" t="s">
        <v>28</v>
      </c>
      <c r="C9" s="36">
        <v>1817</v>
      </c>
      <c r="D9" s="36" t="s">
        <v>13</v>
      </c>
      <c r="E9" s="36" t="s">
        <v>14</v>
      </c>
      <c r="F9" s="36">
        <v>6</v>
      </c>
      <c r="G9" s="38">
        <v>44295</v>
      </c>
      <c r="H9" s="36" t="s">
        <v>29</v>
      </c>
      <c r="I9" s="36" t="s">
        <v>29</v>
      </c>
      <c r="J9" s="36">
        <v>0</v>
      </c>
      <c r="K9" s="36">
        <v>29</v>
      </c>
      <c r="L9" s="36">
        <f>IFERROR(VLOOKUP(A9,GUIAS!$A$2:$R$6,4,0),0)</f>
        <v>29</v>
      </c>
      <c r="M9" s="36">
        <f>IFERROR(VLOOKUP(A9,GUIAS!$A$7:$R$21,4,0),0)</f>
        <v>0</v>
      </c>
      <c r="N9" s="36">
        <f>IFERROR(VLOOKUP(A9,GUIAS!$A$22:$R$36,4,0),0)</f>
        <v>0</v>
      </c>
      <c r="O9" s="36">
        <f t="shared" si="0"/>
        <v>0</v>
      </c>
    </row>
    <row r="10" spans="1:16" ht="28.2" customHeight="1" x14ac:dyDescent="0.3">
      <c r="A10" s="36" t="s">
        <v>30</v>
      </c>
      <c r="B10" s="50" t="s">
        <v>31</v>
      </c>
      <c r="C10" s="36">
        <v>1817</v>
      </c>
      <c r="D10" s="36" t="s">
        <v>13</v>
      </c>
      <c r="E10" s="36" t="s">
        <v>14</v>
      </c>
      <c r="F10" s="36">
        <v>7</v>
      </c>
      <c r="G10" s="38">
        <v>44295</v>
      </c>
      <c r="H10" s="36" t="s">
        <v>29</v>
      </c>
      <c r="I10" s="36" t="s">
        <v>29</v>
      </c>
      <c r="J10" s="36">
        <v>0</v>
      </c>
      <c r="K10" s="36">
        <v>4</v>
      </c>
      <c r="L10" s="36">
        <f>IFERROR(VLOOKUP(A10,GUIAS!$A$2:$R$6,4,0),0)</f>
        <v>4</v>
      </c>
      <c r="M10" s="36">
        <f>IFERROR(VLOOKUP(A10,GUIAS!$A$7:$R$21,4,0),0)</f>
        <v>0</v>
      </c>
      <c r="N10" s="36">
        <f>IFERROR(VLOOKUP(A10,GUIAS!$A$22:$R$36,4,0),0)</f>
        <v>0</v>
      </c>
      <c r="O10" s="36">
        <f t="shared" si="0"/>
        <v>0</v>
      </c>
    </row>
    <row r="11" spans="1:16" ht="28.2" customHeight="1" x14ac:dyDescent="0.3">
      <c r="A11" s="37" t="s">
        <v>32</v>
      </c>
      <c r="B11" s="49" t="s">
        <v>33</v>
      </c>
      <c r="C11" s="37">
        <v>1817</v>
      </c>
      <c r="D11" s="37" t="s">
        <v>13</v>
      </c>
      <c r="E11" s="37" t="s">
        <v>14</v>
      </c>
      <c r="F11" s="37">
        <v>8</v>
      </c>
      <c r="G11" s="38">
        <v>44295</v>
      </c>
      <c r="H11" s="37" t="s">
        <v>15</v>
      </c>
      <c r="I11" s="37" t="s">
        <v>16</v>
      </c>
      <c r="J11" s="37">
        <v>-1</v>
      </c>
      <c r="K11" s="37">
        <v>2</v>
      </c>
      <c r="L11" s="37">
        <f>IFERROR(VLOOKUP(A11,GUIAS!$A$2:$R$6,4,0),0)</f>
        <v>0</v>
      </c>
      <c r="M11" s="37">
        <f>IFERROR(VLOOKUP(A11,GUIAS!$A$7:$R$21,4,0),0)</f>
        <v>0</v>
      </c>
      <c r="N11" s="37">
        <f>IFERROR(VLOOKUP(A11,GUIAS!$A$22:$R$36,4,0),0)</f>
        <v>2</v>
      </c>
      <c r="O11" s="36">
        <f t="shared" si="0"/>
        <v>0</v>
      </c>
    </row>
    <row r="12" spans="1:16" ht="28.2" customHeight="1" x14ac:dyDescent="0.3">
      <c r="A12" s="37" t="s">
        <v>34</v>
      </c>
      <c r="B12" s="49" t="s">
        <v>35</v>
      </c>
      <c r="C12" s="37">
        <v>1817</v>
      </c>
      <c r="D12" s="37" t="s">
        <v>13</v>
      </c>
      <c r="E12" s="37" t="s">
        <v>14</v>
      </c>
      <c r="F12" s="37">
        <v>9</v>
      </c>
      <c r="G12" s="38">
        <v>44295</v>
      </c>
      <c r="H12" s="37" t="s">
        <v>15</v>
      </c>
      <c r="I12" s="37" t="s">
        <v>16</v>
      </c>
      <c r="J12" s="37">
        <v>-1</v>
      </c>
      <c r="K12" s="37">
        <v>2</v>
      </c>
      <c r="L12" s="37">
        <f>IFERROR(VLOOKUP(A12,GUIAS!$A$2:$R$6,4,0),0)</f>
        <v>0</v>
      </c>
      <c r="M12" s="37">
        <f>IFERROR(VLOOKUP(A12,GUIAS!$A$7:$R$21,4,0),0)</f>
        <v>0</v>
      </c>
      <c r="N12" s="37">
        <f>IFERROR(VLOOKUP(A12,GUIAS!$A$22:$R$36,4,0),0)</f>
        <v>2</v>
      </c>
      <c r="O12" s="36">
        <f t="shared" si="0"/>
        <v>0</v>
      </c>
    </row>
    <row r="13" spans="1:16" ht="28.2" customHeight="1" x14ac:dyDescent="0.3">
      <c r="A13" s="37" t="s">
        <v>36</v>
      </c>
      <c r="B13" s="49" t="s">
        <v>37</v>
      </c>
      <c r="C13" s="37">
        <v>1817</v>
      </c>
      <c r="D13" s="37" t="s">
        <v>13</v>
      </c>
      <c r="E13" s="37" t="s">
        <v>14</v>
      </c>
      <c r="F13" s="37">
        <v>10</v>
      </c>
      <c r="G13" s="38">
        <v>44295</v>
      </c>
      <c r="H13" s="37" t="s">
        <v>20</v>
      </c>
      <c r="I13" s="37" t="s">
        <v>29</v>
      </c>
      <c r="J13" s="37">
        <v>0</v>
      </c>
      <c r="K13" s="37">
        <v>5</v>
      </c>
      <c r="L13" s="37">
        <f>IFERROR(VLOOKUP(A13,GUIAS!$A$2:$R$6,4,0),0)</f>
        <v>0</v>
      </c>
      <c r="M13" s="37">
        <f>IFERROR(VLOOKUP(A13,GUIAS!$A$7:$R$21,4,0),0)</f>
        <v>5</v>
      </c>
      <c r="N13" s="36">
        <f>IFERROR(VLOOKUP(A13,GUIAS!$A$22:$R$36,4,0),0)</f>
        <v>0</v>
      </c>
      <c r="O13" s="36">
        <f t="shared" si="0"/>
        <v>0</v>
      </c>
    </row>
    <row r="14" spans="1:16" ht="28.2" customHeight="1" x14ac:dyDescent="0.3">
      <c r="A14" s="37" t="s">
        <v>38</v>
      </c>
      <c r="B14" s="49" t="s">
        <v>24</v>
      </c>
      <c r="C14" s="37">
        <v>1817</v>
      </c>
      <c r="D14" s="37" t="s">
        <v>13</v>
      </c>
      <c r="E14" s="37" t="s">
        <v>14</v>
      </c>
      <c r="F14" s="37">
        <v>11</v>
      </c>
      <c r="G14" s="38">
        <v>44295</v>
      </c>
      <c r="H14" s="37" t="s">
        <v>15</v>
      </c>
      <c r="I14" s="37" t="s">
        <v>16</v>
      </c>
      <c r="J14" s="37">
        <v>-1</v>
      </c>
      <c r="K14" s="37">
        <v>1</v>
      </c>
      <c r="L14" s="37">
        <f>IFERROR(VLOOKUP(A14,GUIAS!$A$2:$R$6,4,0),0)</f>
        <v>0</v>
      </c>
      <c r="M14" s="37">
        <f>IFERROR(VLOOKUP(A14,GUIAS!$A$7:$R$21,4,0),0)</f>
        <v>1</v>
      </c>
      <c r="N14" s="36">
        <f>IFERROR(VLOOKUP(A14,GUIAS!$A$22:$R$36,4,0),0)</f>
        <v>0</v>
      </c>
      <c r="O14" s="36">
        <f t="shared" si="0"/>
        <v>0</v>
      </c>
      <c r="P14" s="42"/>
    </row>
    <row r="15" spans="1:16" ht="28.2" customHeight="1" x14ac:dyDescent="0.3">
      <c r="A15" s="37" t="s">
        <v>39</v>
      </c>
      <c r="B15" s="49" t="s">
        <v>40</v>
      </c>
      <c r="C15" s="37">
        <v>1817</v>
      </c>
      <c r="D15" s="37" t="s">
        <v>13</v>
      </c>
      <c r="E15" s="37" t="s">
        <v>14</v>
      </c>
      <c r="F15" s="37">
        <v>12</v>
      </c>
      <c r="G15" s="38">
        <v>44295</v>
      </c>
      <c r="H15" s="37" t="s">
        <v>15</v>
      </c>
      <c r="I15" s="37" t="s">
        <v>16</v>
      </c>
      <c r="J15" s="37">
        <v>-1</v>
      </c>
      <c r="K15" s="37">
        <v>1</v>
      </c>
      <c r="L15" s="37">
        <f>IFERROR(VLOOKUP(A15,GUIAS!$A$2:$R$6,4,0),0)</f>
        <v>0</v>
      </c>
      <c r="M15" s="37">
        <f>IFERROR(VLOOKUP(A15,GUIAS!$A$7:$R$21,4,0),0)</f>
        <v>1</v>
      </c>
      <c r="N15" s="37">
        <f>IFERROR(VLOOKUP(A15,GUIAS!$A$22:$R$36,4,0),0)</f>
        <v>1</v>
      </c>
      <c r="O15" s="36">
        <f t="shared" si="0"/>
        <v>-1</v>
      </c>
    </row>
    <row r="16" spans="1:16" ht="28.2" customHeight="1" x14ac:dyDescent="0.3">
      <c r="A16" s="37" t="s">
        <v>41</v>
      </c>
      <c r="B16" s="49" t="s">
        <v>42</v>
      </c>
      <c r="C16" s="37">
        <v>1817</v>
      </c>
      <c r="D16" s="37" t="s">
        <v>13</v>
      </c>
      <c r="E16" s="37" t="s">
        <v>14</v>
      </c>
      <c r="F16" s="37">
        <v>13</v>
      </c>
      <c r="G16" s="38">
        <v>44295</v>
      </c>
      <c r="H16" s="37" t="s">
        <v>43</v>
      </c>
      <c r="I16" s="37" t="s">
        <v>29</v>
      </c>
      <c r="J16" s="37">
        <v>0</v>
      </c>
      <c r="K16" s="37">
        <v>1</v>
      </c>
      <c r="L16" s="37">
        <f>IFERROR(VLOOKUP(A16,GUIAS!$A$2:$R$6,4,0),0)</f>
        <v>0</v>
      </c>
      <c r="M16" s="37">
        <f>IFERROR(VLOOKUP(A16,GUIAS!$A$7:$R$21,4,0),0)</f>
        <v>0</v>
      </c>
      <c r="N16" s="37">
        <f>IFERROR(VLOOKUP(A16,GUIAS!$A$22:$R$36,4,0),0)</f>
        <v>1</v>
      </c>
      <c r="O16" s="36">
        <f t="shared" si="0"/>
        <v>0</v>
      </c>
    </row>
    <row r="17" spans="1:16" ht="28.2" customHeight="1" x14ac:dyDescent="0.3">
      <c r="A17" s="37" t="s">
        <v>44</v>
      </c>
      <c r="B17" s="49" t="s">
        <v>45</v>
      </c>
      <c r="C17" s="37">
        <v>1817</v>
      </c>
      <c r="D17" s="37" t="s">
        <v>13</v>
      </c>
      <c r="E17" s="37" t="s">
        <v>14</v>
      </c>
      <c r="F17" s="37">
        <v>14</v>
      </c>
      <c r="G17" s="38">
        <v>44295</v>
      </c>
      <c r="H17" s="37" t="s">
        <v>17</v>
      </c>
      <c r="I17" s="37" t="s">
        <v>16</v>
      </c>
      <c r="J17" s="37">
        <v>-1</v>
      </c>
      <c r="K17" s="37">
        <v>10</v>
      </c>
      <c r="L17" s="37">
        <f>IFERROR(VLOOKUP(A17,GUIAS!$A$2:$R$6,4,0),0)</f>
        <v>0</v>
      </c>
      <c r="M17" s="37">
        <f>IFERROR(VLOOKUP(A17,GUIAS!$A$7:$R$21,4,0),0)</f>
        <v>10</v>
      </c>
      <c r="N17" s="36">
        <f>IFERROR(VLOOKUP(A17,GUIAS!$A$22:$R$36,4,0),0)</f>
        <v>0</v>
      </c>
      <c r="O17" s="36">
        <f t="shared" si="0"/>
        <v>0</v>
      </c>
    </row>
    <row r="18" spans="1:16" ht="28.2" customHeight="1" x14ac:dyDescent="0.3">
      <c r="A18" s="36" t="s">
        <v>46</v>
      </c>
      <c r="B18" s="50" t="s">
        <v>47</v>
      </c>
      <c r="C18" s="36">
        <v>1817</v>
      </c>
      <c r="D18" s="36" t="s">
        <v>13</v>
      </c>
      <c r="E18" s="36" t="s">
        <v>14</v>
      </c>
      <c r="F18" s="36">
        <v>15</v>
      </c>
      <c r="G18" s="38">
        <v>44295</v>
      </c>
      <c r="H18" s="36" t="s">
        <v>20</v>
      </c>
      <c r="I18" s="36" t="s">
        <v>16</v>
      </c>
      <c r="J18" s="36">
        <v>-1</v>
      </c>
      <c r="K18" s="36">
        <v>12</v>
      </c>
      <c r="L18" s="36">
        <f>IFERROR(VLOOKUP(A18,GUIAS!$A$2:$R$6,4,0),0)</f>
        <v>1</v>
      </c>
      <c r="M18" s="37">
        <f>IFERROR(VLOOKUP(A18,GUIAS!$A$7:$R$21,4,0),0)</f>
        <v>11</v>
      </c>
      <c r="N18" s="36">
        <f>IFERROR(VLOOKUP(A18,GUIAS!$A$22:$R$36,4,0),0)</f>
        <v>0</v>
      </c>
      <c r="O18" s="36">
        <f t="shared" si="0"/>
        <v>0</v>
      </c>
    </row>
    <row r="19" spans="1:16" ht="28.2" customHeight="1" x14ac:dyDescent="0.3">
      <c r="A19" s="37" t="s">
        <v>48</v>
      </c>
      <c r="B19" s="49" t="s">
        <v>49</v>
      </c>
      <c r="C19" s="37">
        <v>1817</v>
      </c>
      <c r="D19" s="37" t="s">
        <v>13</v>
      </c>
      <c r="E19" s="37" t="s">
        <v>14</v>
      </c>
      <c r="F19" s="37">
        <v>16</v>
      </c>
      <c r="G19" s="38">
        <v>44295</v>
      </c>
      <c r="H19" s="37" t="s">
        <v>17</v>
      </c>
      <c r="I19" s="37" t="s">
        <v>16</v>
      </c>
      <c r="J19" s="37">
        <v>-1</v>
      </c>
      <c r="K19" s="37">
        <v>2</v>
      </c>
      <c r="L19" s="37">
        <f>IFERROR(VLOOKUP(A19,GUIAS!$A$2:$R$6,4,0),0)</f>
        <v>0</v>
      </c>
      <c r="M19" s="37">
        <f>IFERROR(VLOOKUP(A19,GUIAS!$A$7:$R$21,4,0),0)</f>
        <v>2</v>
      </c>
      <c r="N19" s="36">
        <f>IFERROR(VLOOKUP(A19,GUIAS!$A$22:$R$36,4,0),0)</f>
        <v>0</v>
      </c>
      <c r="O19" s="36">
        <f t="shared" si="0"/>
        <v>0</v>
      </c>
    </row>
    <row r="20" spans="1:16" ht="28.2" customHeight="1" x14ac:dyDescent="0.3">
      <c r="A20" s="37" t="s">
        <v>50</v>
      </c>
      <c r="B20" s="49" t="s">
        <v>51</v>
      </c>
      <c r="C20" s="37">
        <v>1817</v>
      </c>
      <c r="D20" s="37" t="s">
        <v>13</v>
      </c>
      <c r="E20" s="37" t="s">
        <v>14</v>
      </c>
      <c r="F20" s="37">
        <v>17</v>
      </c>
      <c r="G20" s="38">
        <v>44295</v>
      </c>
      <c r="H20" s="37" t="s">
        <v>17</v>
      </c>
      <c r="I20" s="37" t="s">
        <v>16</v>
      </c>
      <c r="J20" s="37">
        <v>-1</v>
      </c>
      <c r="K20" s="37">
        <v>13</v>
      </c>
      <c r="L20" s="37">
        <f>IFERROR(VLOOKUP(A20,GUIAS!$A$2:$R$6,4,0),0)</f>
        <v>0</v>
      </c>
      <c r="M20" s="37">
        <f>IFERROR(VLOOKUP(A20,GUIAS!$A$7:$R$21,4,0),0)</f>
        <v>13</v>
      </c>
      <c r="N20" s="36">
        <f>IFERROR(VLOOKUP(A20,GUIAS!$A$22:$R$36,4,0),0)</f>
        <v>0</v>
      </c>
      <c r="O20" s="36">
        <f t="shared" si="0"/>
        <v>0</v>
      </c>
    </row>
    <row r="21" spans="1:16" ht="28.2" customHeight="1" x14ac:dyDescent="0.3">
      <c r="A21" s="37" t="s">
        <v>52</v>
      </c>
      <c r="B21" s="49" t="s">
        <v>53</v>
      </c>
      <c r="C21" s="37">
        <v>1817</v>
      </c>
      <c r="D21" s="37" t="s">
        <v>13</v>
      </c>
      <c r="E21" s="37" t="s">
        <v>14</v>
      </c>
      <c r="F21" s="37">
        <v>18</v>
      </c>
      <c r="G21" s="38">
        <v>44295</v>
      </c>
      <c r="H21" s="37" t="s">
        <v>17</v>
      </c>
      <c r="I21" s="37" t="s">
        <v>16</v>
      </c>
      <c r="J21" s="37">
        <v>-1</v>
      </c>
      <c r="K21" s="37">
        <v>15</v>
      </c>
      <c r="L21" s="37">
        <f>IFERROR(VLOOKUP(A21,GUIAS!$A$2:$R$6,4,0),0)</f>
        <v>0</v>
      </c>
      <c r="M21" s="37">
        <f>IFERROR(VLOOKUP(A21,GUIAS!$A$7:$R$21,4,0),0)</f>
        <v>15</v>
      </c>
      <c r="N21" s="36">
        <f>IFERROR(VLOOKUP(A21,GUIAS!$A$22:$R$36,4,0),0)</f>
        <v>0</v>
      </c>
      <c r="O21" s="36">
        <f t="shared" si="0"/>
        <v>0</v>
      </c>
    </row>
    <row r="22" spans="1:16" ht="28.2" customHeight="1" x14ac:dyDescent="0.3">
      <c r="A22" s="37" t="s">
        <v>38</v>
      </c>
      <c r="B22" s="49" t="s">
        <v>24</v>
      </c>
      <c r="C22" s="37">
        <v>1817</v>
      </c>
      <c r="D22" s="37" t="s">
        <v>13</v>
      </c>
      <c r="E22" s="37" t="s">
        <v>14</v>
      </c>
      <c r="F22" s="37">
        <v>19</v>
      </c>
      <c r="G22" s="38">
        <v>44295</v>
      </c>
      <c r="H22" s="37" t="s">
        <v>15</v>
      </c>
      <c r="I22" s="37" t="s">
        <v>16</v>
      </c>
      <c r="J22" s="37">
        <v>-1</v>
      </c>
      <c r="K22" s="37">
        <v>1</v>
      </c>
      <c r="L22" s="37">
        <f>IFERROR(VLOOKUP(A22,GUIAS!$A$2:$R$6,4,0),0)</f>
        <v>0</v>
      </c>
      <c r="M22" s="37">
        <f>IFERROR(VLOOKUP(A22,GUIAS!$A$7:$R$21,4,0),0)</f>
        <v>1</v>
      </c>
      <c r="N22" s="36">
        <f>IFERROR(VLOOKUP(A22,GUIAS!$A$22:$R$36,4,0),0)</f>
        <v>0</v>
      </c>
      <c r="O22" s="36">
        <f t="shared" si="0"/>
        <v>0</v>
      </c>
      <c r="P22" s="41"/>
    </row>
    <row r="23" spans="1:16" ht="28.2" customHeight="1" x14ac:dyDescent="0.3">
      <c r="A23" s="37" t="s">
        <v>54</v>
      </c>
      <c r="B23" s="49" t="s">
        <v>55</v>
      </c>
      <c r="C23" s="37">
        <v>1817</v>
      </c>
      <c r="D23" s="37" t="s">
        <v>13</v>
      </c>
      <c r="E23" s="37" t="s">
        <v>14</v>
      </c>
      <c r="F23" s="37">
        <v>20</v>
      </c>
      <c r="G23" s="38">
        <v>44295</v>
      </c>
      <c r="H23" s="37" t="s">
        <v>15</v>
      </c>
      <c r="I23" s="37" t="s">
        <v>16</v>
      </c>
      <c r="J23" s="37">
        <v>-1</v>
      </c>
      <c r="K23" s="37">
        <v>1</v>
      </c>
      <c r="L23" s="37">
        <f>IFERROR(VLOOKUP(A23,GUIAS!$A$2:$R$6,4,0),0)</f>
        <v>0</v>
      </c>
      <c r="M23" s="37">
        <f>IFERROR(VLOOKUP(A23,GUIAS!$A$7:$R$21,4,0),0)</f>
        <v>1</v>
      </c>
      <c r="N23" s="36">
        <f>IFERROR(VLOOKUP(A23,GUIAS!$A$22:$R$36,4,0),0)</f>
        <v>0</v>
      </c>
      <c r="O23" s="36">
        <f t="shared" si="0"/>
        <v>0</v>
      </c>
    </row>
    <row r="24" spans="1:16" ht="28.2" customHeight="1" x14ac:dyDescent="0.3">
      <c r="A24" s="37" t="s">
        <v>56</v>
      </c>
      <c r="B24" s="49" t="s">
        <v>57</v>
      </c>
      <c r="C24" s="37">
        <v>1817</v>
      </c>
      <c r="D24" s="37" t="s">
        <v>13</v>
      </c>
      <c r="E24" s="37" t="s">
        <v>14</v>
      </c>
      <c r="F24" s="37">
        <v>21</v>
      </c>
      <c r="G24" s="38">
        <v>44295</v>
      </c>
      <c r="H24" s="37" t="s">
        <v>15</v>
      </c>
      <c r="I24" s="37" t="s">
        <v>16</v>
      </c>
      <c r="J24" s="37">
        <v>-1</v>
      </c>
      <c r="K24" s="37">
        <v>2</v>
      </c>
      <c r="L24" s="37">
        <f>IFERROR(VLOOKUP(A24,GUIAS!$A$2:$R$6,4,0),0)</f>
        <v>0</v>
      </c>
      <c r="M24" s="37">
        <f>IFERROR(VLOOKUP(A24,GUIAS!$A$7:$R$21,4,0),0)</f>
        <v>2</v>
      </c>
      <c r="N24" s="36">
        <f>IFERROR(VLOOKUP(A24,GUIAS!$A$22:$R$36,4,0),0)</f>
        <v>0</v>
      </c>
      <c r="O24" s="36">
        <f t="shared" si="0"/>
        <v>0</v>
      </c>
    </row>
    <row r="25" spans="1:16" ht="28.2" customHeight="1" x14ac:dyDescent="0.3">
      <c r="A25" s="37" t="s">
        <v>39</v>
      </c>
      <c r="B25" s="49" t="s">
        <v>40</v>
      </c>
      <c r="C25" s="37">
        <v>1817</v>
      </c>
      <c r="D25" s="37" t="s">
        <v>13</v>
      </c>
      <c r="E25" s="37" t="s">
        <v>14</v>
      </c>
      <c r="F25" s="37">
        <v>22</v>
      </c>
      <c r="G25" s="38">
        <v>44295</v>
      </c>
      <c r="H25" s="37" t="s">
        <v>15</v>
      </c>
      <c r="I25" s="37" t="s">
        <v>16</v>
      </c>
      <c r="J25" s="37">
        <v>-1</v>
      </c>
      <c r="K25" s="37">
        <v>1</v>
      </c>
      <c r="L25" s="37">
        <f>IFERROR(VLOOKUP(A25,GUIAS!$A$2:$R$6,4,0),0)</f>
        <v>0</v>
      </c>
      <c r="M25" s="37">
        <f>IFERROR(VLOOKUP(A25,GUIAS!$A$7:$R$21,4,0),0)</f>
        <v>1</v>
      </c>
      <c r="N25" s="37">
        <f>IFERROR(VLOOKUP(A25,GUIAS!$A$22:$R$36,4,0),0)</f>
        <v>1</v>
      </c>
      <c r="O25" s="36">
        <f t="shared" si="0"/>
        <v>-1</v>
      </c>
    </row>
    <row r="26" spans="1:16" ht="28.2" customHeight="1" x14ac:dyDescent="0.3">
      <c r="A26" s="37" t="s">
        <v>58</v>
      </c>
      <c r="B26" s="49" t="s">
        <v>40</v>
      </c>
      <c r="C26" s="37">
        <v>1817</v>
      </c>
      <c r="D26" s="37" t="s">
        <v>13</v>
      </c>
      <c r="E26" s="37" t="s">
        <v>14</v>
      </c>
      <c r="F26" s="37">
        <v>23</v>
      </c>
      <c r="G26" s="38">
        <v>44295</v>
      </c>
      <c r="H26" s="37" t="s">
        <v>15</v>
      </c>
      <c r="I26" s="37" t="s">
        <v>16</v>
      </c>
      <c r="J26" s="37">
        <v>-1</v>
      </c>
      <c r="K26" s="37">
        <v>2</v>
      </c>
      <c r="L26" s="37">
        <f>IFERROR(VLOOKUP(A26,GUIAS!$A$2:$R$6,4,0),0)</f>
        <v>0</v>
      </c>
      <c r="M26" s="37">
        <f>IFERROR(VLOOKUP(A26,GUIAS!$A$7:$R$21,4,0),0)</f>
        <v>1</v>
      </c>
      <c r="N26" s="36">
        <f>IFERROR(VLOOKUP(A26,GUIAS!$A$22:$R$36,4,0),0)</f>
        <v>0</v>
      </c>
      <c r="O26" s="36">
        <f>K26-L26-M26-N26</f>
        <v>1</v>
      </c>
    </row>
    <row r="27" spans="1:16" ht="28.2" customHeight="1" x14ac:dyDescent="0.3">
      <c r="A27" s="37" t="s">
        <v>59</v>
      </c>
      <c r="B27" s="49" t="s">
        <v>60</v>
      </c>
      <c r="C27" s="37">
        <v>1817</v>
      </c>
      <c r="D27" s="37" t="s">
        <v>13</v>
      </c>
      <c r="E27" s="37" t="s">
        <v>14</v>
      </c>
      <c r="F27" s="37">
        <v>24</v>
      </c>
      <c r="G27" s="38">
        <v>44295</v>
      </c>
      <c r="H27" s="37" t="s">
        <v>15</v>
      </c>
      <c r="I27" s="37" t="s">
        <v>16</v>
      </c>
      <c r="J27" s="37">
        <v>-1</v>
      </c>
      <c r="K27" s="37">
        <v>1</v>
      </c>
      <c r="L27" s="37">
        <f>IFERROR(VLOOKUP(A27,GUIAS!$A$2:$R$6,4,0),0)</f>
        <v>0</v>
      </c>
      <c r="M27" s="37">
        <f>IFERROR(VLOOKUP(A27,GUIAS!$A$7:$R$21,4,0),0)</f>
        <v>0</v>
      </c>
      <c r="N27" s="37">
        <f>IFERROR(VLOOKUP(A27,GUIAS!$A$22:$R$36,4,0),0)</f>
        <v>1</v>
      </c>
      <c r="O27" s="36">
        <f t="shared" si="0"/>
        <v>0</v>
      </c>
    </row>
    <row r="28" spans="1:16" ht="28.2" customHeight="1" x14ac:dyDescent="0.3">
      <c r="A28" s="37" t="s">
        <v>61</v>
      </c>
      <c r="B28" s="49" t="s">
        <v>60</v>
      </c>
      <c r="C28" s="37">
        <v>1817</v>
      </c>
      <c r="D28" s="37" t="s">
        <v>13</v>
      </c>
      <c r="E28" s="37" t="s">
        <v>14</v>
      </c>
      <c r="F28" s="37">
        <v>25</v>
      </c>
      <c r="G28" s="38">
        <v>44295</v>
      </c>
      <c r="H28" s="37" t="s">
        <v>15</v>
      </c>
      <c r="I28" s="37" t="s">
        <v>16</v>
      </c>
      <c r="J28" s="37">
        <v>-1</v>
      </c>
      <c r="K28" s="37">
        <v>1</v>
      </c>
      <c r="L28" s="37">
        <f>IFERROR(VLOOKUP(A28,GUIAS!$A$2:$R$6,4,0),0)</f>
        <v>0</v>
      </c>
      <c r="M28" s="37">
        <f>IFERROR(VLOOKUP(A28,GUIAS!$A$7:$R$21,4,0),0)</f>
        <v>0</v>
      </c>
      <c r="N28" s="37">
        <f>IFERROR(VLOOKUP(A28,GUIAS!$A$22:$R$36,4,0),0)</f>
        <v>1</v>
      </c>
      <c r="O28" s="36">
        <f t="shared" si="0"/>
        <v>0</v>
      </c>
    </row>
    <row r="29" spans="1:16" ht="28.2" customHeight="1" x14ac:dyDescent="0.3">
      <c r="A29" s="37" t="s">
        <v>62</v>
      </c>
      <c r="B29" s="49" t="s">
        <v>63</v>
      </c>
      <c r="C29" s="37">
        <v>1817</v>
      </c>
      <c r="D29" s="37" t="s">
        <v>13</v>
      </c>
      <c r="E29" s="37" t="s">
        <v>14</v>
      </c>
      <c r="F29" s="37">
        <v>26</v>
      </c>
      <c r="G29" s="38">
        <v>44295</v>
      </c>
      <c r="H29" s="37" t="s">
        <v>15</v>
      </c>
      <c r="I29" s="37" t="s">
        <v>16</v>
      </c>
      <c r="J29" s="37">
        <v>-1</v>
      </c>
      <c r="K29" s="37">
        <v>1</v>
      </c>
      <c r="L29" s="37">
        <f>IFERROR(VLOOKUP(A29,GUIAS!$A$2:$R$6,4,0),0)</f>
        <v>0</v>
      </c>
      <c r="M29" s="37">
        <f>IFERROR(VLOOKUP(A29,GUIAS!$A$7:$R$21,4,0),0)</f>
        <v>0</v>
      </c>
      <c r="N29" s="37">
        <f>IFERROR(VLOOKUP(A29,GUIAS!$A$22:$R$36,4,0),0)</f>
        <v>1</v>
      </c>
      <c r="O29" s="36">
        <f t="shared" si="0"/>
        <v>0</v>
      </c>
    </row>
    <row r="30" spans="1:16" ht="28.2" customHeight="1" x14ac:dyDescent="0.3">
      <c r="A30" s="36" t="s">
        <v>64</v>
      </c>
      <c r="B30" s="50" t="s">
        <v>65</v>
      </c>
      <c r="C30" s="36">
        <v>1817</v>
      </c>
      <c r="D30" s="36" t="s">
        <v>13</v>
      </c>
      <c r="E30" s="36" t="s">
        <v>14</v>
      </c>
      <c r="F30" s="36">
        <v>27</v>
      </c>
      <c r="G30" s="38">
        <v>44295</v>
      </c>
      <c r="H30" s="36" t="s">
        <v>15</v>
      </c>
      <c r="I30" s="36" t="s">
        <v>16</v>
      </c>
      <c r="J30" s="36">
        <v>-1</v>
      </c>
      <c r="K30" s="36">
        <v>3</v>
      </c>
      <c r="L30" s="36">
        <f>IFERROR(VLOOKUP(A30,GUIAS!$A$2:$R$6,4,0),0)</f>
        <v>3</v>
      </c>
      <c r="M30" s="36">
        <f>IFERROR(VLOOKUP(A30,GUIAS!$A$7:$R$21,4,0),0)</f>
        <v>0</v>
      </c>
      <c r="N30" s="36">
        <f>IFERROR(VLOOKUP(A30,GUIAS!$A$22:$R$36,4,0),0)</f>
        <v>0</v>
      </c>
      <c r="O30" s="36">
        <f t="shared" si="0"/>
        <v>0</v>
      </c>
    </row>
    <row r="31" spans="1:16" ht="28.2" customHeight="1" x14ac:dyDescent="0.3">
      <c r="A31" s="37" t="s">
        <v>66</v>
      </c>
      <c r="B31" s="49" t="s">
        <v>67</v>
      </c>
      <c r="C31" s="37">
        <v>1817</v>
      </c>
      <c r="D31" s="37" t="s">
        <v>13</v>
      </c>
      <c r="E31" s="37" t="s">
        <v>14</v>
      </c>
      <c r="F31" s="37">
        <v>28</v>
      </c>
      <c r="G31" s="38">
        <v>44295</v>
      </c>
      <c r="H31" s="37" t="s">
        <v>15</v>
      </c>
      <c r="I31" s="37" t="s">
        <v>16</v>
      </c>
      <c r="J31" s="37">
        <v>-1</v>
      </c>
      <c r="K31" s="37">
        <v>1</v>
      </c>
      <c r="L31" s="37">
        <f>IFERROR(VLOOKUP(A31,GUIAS!$A$2:$R$6,4,0),0)</f>
        <v>0</v>
      </c>
      <c r="M31" s="37">
        <f>IFERROR(VLOOKUP(A31,GUIAS!$A$7:$R$21,4,0),0)</f>
        <v>0</v>
      </c>
      <c r="N31" s="37">
        <f>IFERROR(VLOOKUP(A31,GUIAS!$A$22:$R$36,4,0),0)</f>
        <v>1</v>
      </c>
      <c r="O31" s="36">
        <f t="shared" si="0"/>
        <v>0</v>
      </c>
    </row>
    <row r="32" spans="1:16" ht="28.2" customHeight="1" x14ac:dyDescent="0.3">
      <c r="A32" s="37" t="s">
        <v>68</v>
      </c>
      <c r="B32" s="49" t="s">
        <v>67</v>
      </c>
      <c r="C32" s="37">
        <v>1817</v>
      </c>
      <c r="D32" s="37" t="s">
        <v>13</v>
      </c>
      <c r="E32" s="37" t="s">
        <v>14</v>
      </c>
      <c r="F32" s="37">
        <v>29</v>
      </c>
      <c r="G32" s="38">
        <v>44295</v>
      </c>
      <c r="H32" s="37" t="s">
        <v>15</v>
      </c>
      <c r="I32" s="37" t="s">
        <v>16</v>
      </c>
      <c r="J32" s="37">
        <v>-1</v>
      </c>
      <c r="K32" s="37">
        <v>1</v>
      </c>
      <c r="L32" s="37">
        <f>IFERROR(VLOOKUP(A32,GUIAS!$A$2:$R$6,4,0),0)</f>
        <v>0</v>
      </c>
      <c r="M32" s="37">
        <f>IFERROR(VLOOKUP(A32,GUIAS!$A$7:$R$21,4,0),0)</f>
        <v>0</v>
      </c>
      <c r="N32" s="37">
        <f>IFERROR(VLOOKUP(A32,GUIAS!$A$22:$R$36,4,0),0)</f>
        <v>1</v>
      </c>
      <c r="O32" s="36">
        <f t="shared" si="0"/>
        <v>0</v>
      </c>
    </row>
    <row r="33" spans="1:15" ht="28.2" customHeight="1" x14ac:dyDescent="0.3">
      <c r="A33" s="37" t="s">
        <v>69</v>
      </c>
      <c r="B33" s="49" t="s">
        <v>70</v>
      </c>
      <c r="C33" s="37">
        <v>1817</v>
      </c>
      <c r="D33" s="37" t="s">
        <v>13</v>
      </c>
      <c r="E33" s="37" t="s">
        <v>14</v>
      </c>
      <c r="F33" s="37">
        <v>30</v>
      </c>
      <c r="G33" s="38">
        <v>44295</v>
      </c>
      <c r="H33" s="37" t="s">
        <v>15</v>
      </c>
      <c r="I33" s="37" t="s">
        <v>16</v>
      </c>
      <c r="J33" s="37">
        <v>-1</v>
      </c>
      <c r="K33" s="37">
        <v>1</v>
      </c>
      <c r="L33" s="37">
        <f>IFERROR(VLOOKUP(A33,GUIAS!$A$2:$R$6,4,0),0)</f>
        <v>0</v>
      </c>
      <c r="M33" s="37">
        <f>IFERROR(VLOOKUP(A33,GUIAS!$A$7:$R$21,4,0),0)</f>
        <v>0</v>
      </c>
      <c r="N33" s="37">
        <f>IFERROR(VLOOKUP(A33,GUIAS!$A$22:$R$36,4,0),0)</f>
        <v>1</v>
      </c>
      <c r="O33" s="36">
        <f t="shared" si="0"/>
        <v>0</v>
      </c>
    </row>
    <row r="34" spans="1:15" ht="28.2" customHeight="1" x14ac:dyDescent="0.3">
      <c r="A34" s="36" t="s">
        <v>71</v>
      </c>
      <c r="B34" s="50" t="s">
        <v>72</v>
      </c>
      <c r="C34" s="36">
        <v>1817</v>
      </c>
      <c r="D34" s="36" t="s">
        <v>13</v>
      </c>
      <c r="E34" s="36" t="s">
        <v>14</v>
      </c>
      <c r="F34" s="36">
        <v>31</v>
      </c>
      <c r="G34" s="38">
        <v>44295</v>
      </c>
      <c r="H34" s="36" t="s">
        <v>15</v>
      </c>
      <c r="I34" s="36" t="s">
        <v>16</v>
      </c>
      <c r="J34" s="36">
        <v>-1</v>
      </c>
      <c r="K34" s="36">
        <v>3</v>
      </c>
      <c r="L34" s="36">
        <f>IFERROR(VLOOKUP(A34,GUIAS!$A$2:$R$6,4,0),0)</f>
        <v>1</v>
      </c>
      <c r="M34" s="36">
        <f>IFERROR(VLOOKUP(A34,GUIAS!$A$7:$R$21,4,0),0)</f>
        <v>0</v>
      </c>
      <c r="N34" s="37">
        <f>IFERROR(VLOOKUP(A34,GUIAS!$A$22:$R$36,4,0),0)</f>
        <v>2</v>
      </c>
      <c r="O34" s="36">
        <f t="shared" si="0"/>
        <v>0</v>
      </c>
    </row>
    <row r="35" spans="1:15" ht="28.2" customHeight="1" x14ac:dyDescent="0.3">
      <c r="A35" s="37" t="s">
        <v>73</v>
      </c>
      <c r="B35" s="49" t="s">
        <v>74</v>
      </c>
      <c r="C35" s="37">
        <v>1817</v>
      </c>
      <c r="D35" s="37" t="s">
        <v>13</v>
      </c>
      <c r="E35" s="37" t="s">
        <v>14</v>
      </c>
      <c r="F35" s="37">
        <v>32</v>
      </c>
      <c r="G35" s="38">
        <v>44295</v>
      </c>
      <c r="H35" s="37" t="s">
        <v>15</v>
      </c>
      <c r="I35" s="37" t="s">
        <v>16</v>
      </c>
      <c r="J35" s="37">
        <v>-1</v>
      </c>
      <c r="K35" s="37">
        <v>1</v>
      </c>
      <c r="L35" s="37">
        <f>IFERROR(VLOOKUP(A35,GUIAS!$A$2:$R$6,4,0),0)</f>
        <v>0</v>
      </c>
      <c r="M35" s="37">
        <f>IFERROR(VLOOKUP(A35,GUIAS!$A$7:$R$21,4,0),0)</f>
        <v>0</v>
      </c>
      <c r="N35" s="37">
        <f>IFERROR(VLOOKUP(A35,GUIAS!$A$22:$R$36,4,0),0)</f>
        <v>1</v>
      </c>
      <c r="O35" s="36">
        <f t="shared" si="0"/>
        <v>0</v>
      </c>
    </row>
    <row r="36" spans="1:15" ht="28.2" customHeight="1" x14ac:dyDescent="0.3">
      <c r="A36" s="37" t="s">
        <v>75</v>
      </c>
      <c r="B36" s="49" t="s">
        <v>74</v>
      </c>
      <c r="C36" s="37">
        <v>1817</v>
      </c>
      <c r="D36" s="37" t="s">
        <v>13</v>
      </c>
      <c r="E36" s="37" t="s">
        <v>14</v>
      </c>
      <c r="F36" s="37">
        <v>33</v>
      </c>
      <c r="G36" s="38">
        <v>44295</v>
      </c>
      <c r="H36" s="37" t="s">
        <v>15</v>
      </c>
      <c r="I36" s="37" t="s">
        <v>16</v>
      </c>
      <c r="J36" s="37">
        <v>-1</v>
      </c>
      <c r="K36" s="37">
        <v>2</v>
      </c>
      <c r="L36" s="37">
        <f>IFERROR(VLOOKUP(A36,GUIAS!$A$2:$R$6,4,0),0)</f>
        <v>0</v>
      </c>
      <c r="M36" s="37">
        <f>IFERROR(VLOOKUP(A36,GUIAS!$A$7:$R$21,4,0),0)</f>
        <v>0</v>
      </c>
      <c r="N36" s="37">
        <f>IFERROR(VLOOKUP(A36,GUIAS!$A$22:$R$36,4,0),0)</f>
        <v>2</v>
      </c>
      <c r="O36" s="36">
        <f t="shared" si="0"/>
        <v>0</v>
      </c>
    </row>
    <row r="37" spans="1:15" ht="28.2" customHeight="1" x14ac:dyDescent="0.3">
      <c r="A37" s="37" t="s">
        <v>34</v>
      </c>
      <c r="B37" s="49" t="s">
        <v>35</v>
      </c>
      <c r="C37" s="37">
        <v>1817</v>
      </c>
      <c r="D37" s="37" t="s">
        <v>13</v>
      </c>
      <c r="E37" s="37" t="s">
        <v>14</v>
      </c>
      <c r="F37" s="37">
        <v>34</v>
      </c>
      <c r="G37" s="38">
        <v>44295</v>
      </c>
      <c r="H37" s="37" t="s">
        <v>15</v>
      </c>
      <c r="I37" s="37" t="s">
        <v>16</v>
      </c>
      <c r="J37" s="37">
        <v>-1</v>
      </c>
      <c r="K37" s="37">
        <v>2</v>
      </c>
      <c r="L37" s="37">
        <f>IFERROR(VLOOKUP(A37,GUIAS!$A$2:$R$6,4,0),0)</f>
        <v>0</v>
      </c>
      <c r="M37" s="37">
        <f>IFERROR(VLOOKUP(A37,GUIAS!$A$7:$R$21,4,0),0)</f>
        <v>0</v>
      </c>
      <c r="N37" s="37">
        <f>IFERROR(VLOOKUP(A37,GUIAS!$A$22:$R$36,4,0),0)</f>
        <v>2</v>
      </c>
      <c r="O37" s="36">
        <f t="shared" si="0"/>
        <v>0</v>
      </c>
    </row>
    <row r="38" spans="1:15" ht="28.2" customHeight="1" x14ac:dyDescent="0.3">
      <c r="A38" s="37" t="s">
        <v>76</v>
      </c>
      <c r="B38" s="49" t="s">
        <v>77</v>
      </c>
      <c r="C38" s="37">
        <v>1817</v>
      </c>
      <c r="D38" s="37" t="s">
        <v>13</v>
      </c>
      <c r="E38" s="37" t="s">
        <v>14</v>
      </c>
      <c r="F38" s="37">
        <v>35</v>
      </c>
      <c r="G38" s="38">
        <v>44295</v>
      </c>
      <c r="H38" s="37" t="s">
        <v>15</v>
      </c>
      <c r="I38" s="37" t="s">
        <v>16</v>
      </c>
      <c r="J38" s="37">
        <v>-1</v>
      </c>
      <c r="K38" s="37">
        <v>2</v>
      </c>
      <c r="L38" s="37">
        <f>IFERROR(VLOOKUP(A38,GUIAS!$A$2:$R$6,4,0),0)</f>
        <v>0</v>
      </c>
      <c r="M38" s="37">
        <f>IFERROR(VLOOKUP(A38,GUIAS!$A$7:$R$21,4,0),0)</f>
        <v>0</v>
      </c>
      <c r="N38" s="37">
        <f>IFERROR(VLOOKUP(A38,GUIAS!$A$22:$R$36,4,0),0)</f>
        <v>2</v>
      </c>
      <c r="O38" s="36">
        <f t="shared" si="0"/>
        <v>0</v>
      </c>
    </row>
    <row r="39" spans="1:15" ht="28.2" customHeight="1" x14ac:dyDescent="0.3">
      <c r="A39" s="37" t="s">
        <v>54</v>
      </c>
      <c r="B39" s="49" t="s">
        <v>55</v>
      </c>
      <c r="C39" s="37">
        <v>1817</v>
      </c>
      <c r="D39" s="37" t="s">
        <v>13</v>
      </c>
      <c r="E39" s="37" t="s">
        <v>14</v>
      </c>
      <c r="F39" s="37">
        <v>36</v>
      </c>
      <c r="G39" s="38">
        <v>44295</v>
      </c>
      <c r="H39" s="37" t="s">
        <v>15</v>
      </c>
      <c r="I39" s="37" t="s">
        <v>16</v>
      </c>
      <c r="J39" s="37">
        <v>-1</v>
      </c>
      <c r="K39" s="37">
        <v>1</v>
      </c>
      <c r="L39" s="37">
        <f>IFERROR(VLOOKUP(A39,GUIAS!$A$2:$R$6,4,0),0)</f>
        <v>0</v>
      </c>
      <c r="M39" s="37">
        <f>IFERROR(VLOOKUP(A39,GUIAS!$A$7:$R$21,4,0),0)</f>
        <v>1</v>
      </c>
      <c r="N39" s="36">
        <f>IFERROR(VLOOKUP(A39,GUIAS!$A$22:$R$36,4,0),0)</f>
        <v>0</v>
      </c>
      <c r="O39" s="36">
        <f t="shared" si="0"/>
        <v>0</v>
      </c>
    </row>
    <row r="40" spans="1:15" ht="28.2" customHeight="1" x14ac:dyDescent="0.3">
      <c r="A40" s="37" t="s">
        <v>58</v>
      </c>
      <c r="B40" s="49" t="s">
        <v>40</v>
      </c>
      <c r="C40" s="37">
        <v>1817</v>
      </c>
      <c r="D40" s="37" t="s">
        <v>13</v>
      </c>
      <c r="E40" s="37" t="s">
        <v>14</v>
      </c>
      <c r="F40" s="37">
        <v>37</v>
      </c>
      <c r="G40" s="38">
        <v>44295</v>
      </c>
      <c r="H40" s="37" t="s">
        <v>15</v>
      </c>
      <c r="I40" s="37" t="s">
        <v>16</v>
      </c>
      <c r="J40" s="37">
        <v>-1</v>
      </c>
      <c r="K40" s="37">
        <v>2</v>
      </c>
      <c r="L40" s="37">
        <f>IFERROR(VLOOKUP(A40,GUIAS!$A$2:$R$6,4,0),0)</f>
        <v>0</v>
      </c>
      <c r="M40" s="37">
        <f>IFERROR(VLOOKUP(A40,GUIAS!$A$7:$R$21,4,0),0)</f>
        <v>1</v>
      </c>
      <c r="N40" s="36">
        <f>IFERROR(VLOOKUP(A40,GUIAS!$A$22:$R$36,4,0),0)</f>
        <v>0</v>
      </c>
      <c r="O40" s="36">
        <f t="shared" si="0"/>
        <v>1</v>
      </c>
    </row>
    <row r="41" spans="1:15" ht="28.2" customHeight="1" x14ac:dyDescent="0.3">
      <c r="A41" s="37" t="s">
        <v>66</v>
      </c>
      <c r="B41" s="49" t="s">
        <v>67</v>
      </c>
      <c r="C41" s="37">
        <v>1817</v>
      </c>
      <c r="D41" s="37" t="s">
        <v>13</v>
      </c>
      <c r="E41" s="37" t="s">
        <v>14</v>
      </c>
      <c r="F41" s="37">
        <v>38</v>
      </c>
      <c r="G41" s="38">
        <v>44295</v>
      </c>
      <c r="H41" s="37" t="s">
        <v>15</v>
      </c>
      <c r="I41" s="37" t="s">
        <v>16</v>
      </c>
      <c r="J41" s="37">
        <v>-1</v>
      </c>
      <c r="K41" s="37">
        <v>1</v>
      </c>
      <c r="L41" s="37">
        <f>IFERROR(VLOOKUP(A41,GUIAS!$A$2:$R$6,4,0),0)</f>
        <v>0</v>
      </c>
      <c r="M41" s="37">
        <f>IFERROR(VLOOKUP(A41,GUIAS!$A$7:$R$21,4,0),0)</f>
        <v>0</v>
      </c>
      <c r="N41" s="37">
        <f>IFERROR(VLOOKUP(A41,GUIAS!$A$22:$R$36,4,0),0)</f>
        <v>1</v>
      </c>
      <c r="O41" s="36">
        <f t="shared" si="0"/>
        <v>0</v>
      </c>
    </row>
    <row r="42" spans="1:15" ht="28.2" customHeight="1" x14ac:dyDescent="0.3">
      <c r="A42" s="37" t="s">
        <v>73</v>
      </c>
      <c r="B42" s="49" t="s">
        <v>74</v>
      </c>
      <c r="C42" s="37">
        <v>1817</v>
      </c>
      <c r="D42" s="37" t="s">
        <v>13</v>
      </c>
      <c r="E42" s="37" t="s">
        <v>14</v>
      </c>
      <c r="F42" s="37">
        <v>39</v>
      </c>
      <c r="G42" s="38">
        <v>44295</v>
      </c>
      <c r="H42" s="37" t="s">
        <v>15</v>
      </c>
      <c r="I42" s="37" t="s">
        <v>16</v>
      </c>
      <c r="J42" s="37">
        <v>-1</v>
      </c>
      <c r="K42" s="37">
        <v>1</v>
      </c>
      <c r="L42" s="37">
        <f>IFERROR(VLOOKUP(A42,GUIAS!$A$2:$R$6,4,0),0)</f>
        <v>0</v>
      </c>
      <c r="M42" s="37">
        <f>IFERROR(VLOOKUP(A42,GUIAS!$A$7:$R$21,4,0),0)</f>
        <v>0</v>
      </c>
      <c r="N42" s="37">
        <f>IFERROR(VLOOKUP(A42,GUIAS!$A$22:$R$36,4,0),0)</f>
        <v>1</v>
      </c>
      <c r="O42" s="36">
        <f t="shared" si="0"/>
        <v>0</v>
      </c>
    </row>
    <row r="43" spans="1:15" ht="28.2" customHeight="1" x14ac:dyDescent="0.3">
      <c r="A43" s="37" t="s">
        <v>54</v>
      </c>
      <c r="B43" s="49" t="s">
        <v>55</v>
      </c>
      <c r="C43" s="37">
        <v>1817</v>
      </c>
      <c r="D43" s="37" t="s">
        <v>13</v>
      </c>
      <c r="E43" s="37" t="s">
        <v>14</v>
      </c>
      <c r="F43" s="37">
        <v>40</v>
      </c>
      <c r="G43" s="38">
        <v>44295</v>
      </c>
      <c r="H43" s="37" t="s">
        <v>15</v>
      </c>
      <c r="I43" s="37" t="s">
        <v>16</v>
      </c>
      <c r="J43" s="37">
        <v>-1</v>
      </c>
      <c r="K43" s="37">
        <v>1</v>
      </c>
      <c r="L43" s="37">
        <f>IFERROR(VLOOKUP(A43,GUIAS!$A$2:$R$6,4,0),0)</f>
        <v>0</v>
      </c>
      <c r="M43" s="37">
        <f>IFERROR(VLOOKUP(A43,GUIAS!$A$7:$R$21,4,0),0)</f>
        <v>1</v>
      </c>
      <c r="N43" s="36">
        <f>IFERROR(VLOOKUP(A43,GUIAS!$A$22:$R$36,4,0),0)</f>
        <v>0</v>
      </c>
      <c r="O43" s="36">
        <f t="shared" si="0"/>
        <v>0</v>
      </c>
    </row>
    <row r="44" spans="1:15" ht="28.2" customHeight="1" x14ac:dyDescent="0.3">
      <c r="A44" s="37" t="s">
        <v>61</v>
      </c>
      <c r="B44" s="49" t="s">
        <v>60</v>
      </c>
      <c r="C44" s="37">
        <v>1817</v>
      </c>
      <c r="D44" s="37" t="s">
        <v>13</v>
      </c>
      <c r="E44" s="37" t="s">
        <v>14</v>
      </c>
      <c r="F44" s="37">
        <v>41</v>
      </c>
      <c r="G44" s="38">
        <v>44295</v>
      </c>
      <c r="H44" s="37" t="s">
        <v>15</v>
      </c>
      <c r="I44" s="37" t="s">
        <v>16</v>
      </c>
      <c r="J44" s="37">
        <v>-1</v>
      </c>
      <c r="K44" s="37">
        <v>1</v>
      </c>
      <c r="L44" s="37">
        <f>IFERROR(VLOOKUP(A44,GUIAS!$A$2:$R$6,4,0),0)</f>
        <v>0</v>
      </c>
      <c r="M44" s="37">
        <f>IFERROR(VLOOKUP(A44,GUIAS!$A$7:$R$21,4,0),0)</f>
        <v>0</v>
      </c>
      <c r="N44" s="37">
        <f>IFERROR(VLOOKUP(A44,GUIAS!$A$22:$R$36,4,0),0)</f>
        <v>1</v>
      </c>
      <c r="O44" s="36">
        <f t="shared" si="0"/>
        <v>0</v>
      </c>
    </row>
    <row r="45" spans="1:15" ht="28.2" customHeight="1" x14ac:dyDescent="0.3">
      <c r="A45" s="37" t="s">
        <v>68</v>
      </c>
      <c r="B45" s="49" t="s">
        <v>67</v>
      </c>
      <c r="C45" s="37">
        <v>1817</v>
      </c>
      <c r="D45" s="37" t="s">
        <v>13</v>
      </c>
      <c r="E45" s="37" t="s">
        <v>14</v>
      </c>
      <c r="F45" s="37">
        <v>42</v>
      </c>
      <c r="G45" s="38">
        <v>44295</v>
      </c>
      <c r="H45" s="37" t="s">
        <v>15</v>
      </c>
      <c r="I45" s="37" t="s">
        <v>16</v>
      </c>
      <c r="J45" s="37">
        <v>-1</v>
      </c>
      <c r="K45" s="37">
        <v>1</v>
      </c>
      <c r="L45" s="37">
        <f>IFERROR(VLOOKUP(A45,GUIAS!$A$2:$R$6,4,0),0)</f>
        <v>0</v>
      </c>
      <c r="M45" s="37">
        <f>IFERROR(VLOOKUP(A45,GUIAS!$A$7:$R$21,4,0),0)</f>
        <v>0</v>
      </c>
      <c r="N45" s="37">
        <f>IFERROR(VLOOKUP(A45,GUIAS!$A$22:$R$36,4,0),0)</f>
        <v>1</v>
      </c>
      <c r="O45" s="36">
        <f t="shared" si="0"/>
        <v>0</v>
      </c>
    </row>
    <row r="46" spans="1:15" ht="28.2" customHeight="1" x14ac:dyDescent="0.3">
      <c r="A46" s="37" t="s">
        <v>69</v>
      </c>
      <c r="B46" s="49" t="s">
        <v>70</v>
      </c>
      <c r="C46" s="37">
        <v>1817</v>
      </c>
      <c r="D46" s="37" t="s">
        <v>13</v>
      </c>
      <c r="E46" s="37" t="s">
        <v>14</v>
      </c>
      <c r="F46" s="37">
        <v>43</v>
      </c>
      <c r="G46" s="38">
        <v>44295</v>
      </c>
      <c r="H46" s="37" t="s">
        <v>15</v>
      </c>
      <c r="I46" s="37" t="s">
        <v>16</v>
      </c>
      <c r="J46" s="37">
        <v>-1</v>
      </c>
      <c r="K46" s="37">
        <v>1</v>
      </c>
      <c r="L46" s="37">
        <f>IFERROR(VLOOKUP(A46,GUIAS!$A$2:$R$6,4,0),0)</f>
        <v>0</v>
      </c>
      <c r="M46" s="37">
        <f>IFERROR(VLOOKUP(A46,GUIAS!$A$7:$R$21,4,0),0)</f>
        <v>0</v>
      </c>
      <c r="N46" s="37">
        <f>IFERROR(VLOOKUP(A46,GUIAS!$A$22:$R$36,4,0),0)</f>
        <v>1</v>
      </c>
      <c r="O46" s="36">
        <f t="shared" si="0"/>
        <v>0</v>
      </c>
    </row>
    <row r="49" spans="1:16" ht="28.2" customHeight="1" x14ac:dyDescent="0.7">
      <c r="A49" s="51" t="s">
        <v>102</v>
      </c>
    </row>
    <row r="50" spans="1:16" ht="28.8" x14ac:dyDescent="0.3">
      <c r="A50" s="26" t="s">
        <v>0</v>
      </c>
      <c r="B50" s="48" t="s">
        <v>1</v>
      </c>
      <c r="C50" s="26" t="s">
        <v>2</v>
      </c>
      <c r="D50" s="26" t="s">
        <v>3</v>
      </c>
      <c r="E50" s="26" t="s">
        <v>4</v>
      </c>
      <c r="F50" s="26" t="s">
        <v>5</v>
      </c>
      <c r="G50" s="26" t="s">
        <v>6</v>
      </c>
      <c r="H50" s="26" t="s">
        <v>7</v>
      </c>
      <c r="I50" s="26" t="s">
        <v>8</v>
      </c>
      <c r="J50" s="26" t="s">
        <v>9</v>
      </c>
      <c r="K50" s="26" t="s">
        <v>10</v>
      </c>
      <c r="L50" s="26">
        <v>7273</v>
      </c>
      <c r="M50" s="26">
        <v>7465</v>
      </c>
      <c r="N50" s="26">
        <v>7466</v>
      </c>
      <c r="O50" s="43" t="s">
        <v>103</v>
      </c>
      <c r="P50" s="40" t="s">
        <v>112</v>
      </c>
    </row>
    <row r="51" spans="1:16" ht="43.2" x14ac:dyDescent="0.3">
      <c r="A51" s="22" t="s">
        <v>69</v>
      </c>
      <c r="B51" s="29" t="s">
        <v>70</v>
      </c>
      <c r="C51" s="23">
        <v>1817</v>
      </c>
      <c r="D51" s="22" t="s">
        <v>13</v>
      </c>
      <c r="E51" s="22" t="s">
        <v>14</v>
      </c>
      <c r="F51" s="23">
        <v>43</v>
      </c>
      <c r="G51" s="25">
        <v>44295</v>
      </c>
      <c r="H51" s="23" t="s">
        <v>15</v>
      </c>
      <c r="I51" s="23" t="s">
        <v>16</v>
      </c>
      <c r="J51" s="23">
        <v>-1</v>
      </c>
      <c r="K51" s="23">
        <v>1</v>
      </c>
      <c r="L51" s="23">
        <v>0</v>
      </c>
      <c r="M51" s="23">
        <v>0</v>
      </c>
      <c r="N51" s="23">
        <v>0</v>
      </c>
      <c r="O51" s="27">
        <f>K51-L51-M51-N51</f>
        <v>1</v>
      </c>
      <c r="P51" s="44" t="s">
        <v>111</v>
      </c>
    </row>
    <row r="52" spans="1:16" ht="57.6" x14ac:dyDescent="0.3">
      <c r="A52" s="24" t="s">
        <v>54</v>
      </c>
      <c r="B52" s="29" t="s">
        <v>55</v>
      </c>
      <c r="C52" s="23">
        <v>1817</v>
      </c>
      <c r="D52" s="24" t="s">
        <v>13</v>
      </c>
      <c r="E52" s="24" t="s">
        <v>14</v>
      </c>
      <c r="F52" s="23">
        <v>36</v>
      </c>
      <c r="G52" s="25">
        <v>44295</v>
      </c>
      <c r="H52" s="23" t="s">
        <v>15</v>
      </c>
      <c r="I52" s="23" t="s">
        <v>16</v>
      </c>
      <c r="J52" s="23">
        <v>-1</v>
      </c>
      <c r="K52" s="23">
        <v>1</v>
      </c>
      <c r="L52" s="23">
        <v>0</v>
      </c>
      <c r="M52" s="23">
        <v>0</v>
      </c>
      <c r="N52" s="23">
        <v>0</v>
      </c>
      <c r="O52" s="28">
        <f>K52-L52-M52-N52</f>
        <v>1</v>
      </c>
      <c r="P52" s="44" t="s">
        <v>105</v>
      </c>
    </row>
    <row r="53" spans="1:16" ht="57.6" x14ac:dyDescent="0.3">
      <c r="A53" s="23" t="s">
        <v>54</v>
      </c>
      <c r="B53" s="29" t="s">
        <v>55</v>
      </c>
      <c r="C53" s="23">
        <v>1817</v>
      </c>
      <c r="D53" s="23" t="s">
        <v>13</v>
      </c>
      <c r="E53" s="23" t="s">
        <v>14</v>
      </c>
      <c r="F53" s="23">
        <v>40</v>
      </c>
      <c r="G53" s="25">
        <v>44295</v>
      </c>
      <c r="H53" s="23" t="s">
        <v>15</v>
      </c>
      <c r="I53" s="23" t="s">
        <v>16</v>
      </c>
      <c r="J53" s="23">
        <v>-1</v>
      </c>
      <c r="K53" s="23">
        <v>2</v>
      </c>
      <c r="L53" s="23">
        <v>0</v>
      </c>
      <c r="M53" s="23">
        <v>0</v>
      </c>
      <c r="N53" s="23">
        <v>0</v>
      </c>
      <c r="O53" s="28">
        <f>K53-L53-M53-N53</f>
        <v>2</v>
      </c>
      <c r="P53" s="44" t="s">
        <v>105</v>
      </c>
    </row>
    <row r="54" spans="1:16" ht="43.2" x14ac:dyDescent="0.3">
      <c r="A54" s="22" t="s">
        <v>61</v>
      </c>
      <c r="B54" s="29" t="s">
        <v>60</v>
      </c>
      <c r="C54" s="23">
        <v>1817</v>
      </c>
      <c r="D54" s="22" t="s">
        <v>13</v>
      </c>
      <c r="E54" s="22" t="s">
        <v>14</v>
      </c>
      <c r="F54" s="23">
        <v>41</v>
      </c>
      <c r="G54" s="25">
        <v>44295</v>
      </c>
      <c r="H54" s="23" t="s">
        <v>15</v>
      </c>
      <c r="I54" s="23" t="s">
        <v>16</v>
      </c>
      <c r="J54" s="23">
        <v>-1</v>
      </c>
      <c r="K54" s="23">
        <v>1</v>
      </c>
      <c r="L54" s="23">
        <v>0</v>
      </c>
      <c r="M54" s="23">
        <v>0</v>
      </c>
      <c r="N54" s="23">
        <v>0</v>
      </c>
      <c r="O54" s="28">
        <f>K54-L54-M54-N54</f>
        <v>1</v>
      </c>
      <c r="P54" s="44" t="s">
        <v>106</v>
      </c>
    </row>
    <row r="55" spans="1:16" ht="43.2" x14ac:dyDescent="0.3">
      <c r="A55" s="30" t="s">
        <v>73</v>
      </c>
      <c r="B55" s="29" t="s">
        <v>74</v>
      </c>
      <c r="C55" s="23">
        <v>1817</v>
      </c>
      <c r="D55" s="22" t="s">
        <v>13</v>
      </c>
      <c r="E55" s="22" t="s">
        <v>14</v>
      </c>
      <c r="F55" s="23">
        <v>39</v>
      </c>
      <c r="G55" s="25">
        <v>44295</v>
      </c>
      <c r="H55" s="23" t="s">
        <v>15</v>
      </c>
      <c r="I55" s="23" t="s">
        <v>16</v>
      </c>
      <c r="J55" s="23">
        <v>-1</v>
      </c>
      <c r="K55" s="23">
        <v>1</v>
      </c>
      <c r="L55" s="23">
        <v>0</v>
      </c>
      <c r="M55" s="23">
        <v>0</v>
      </c>
      <c r="N55" s="23">
        <v>0</v>
      </c>
      <c r="O55" s="28">
        <f>K55-L55-M55-N55</f>
        <v>1</v>
      </c>
      <c r="P55" s="44" t="s">
        <v>107</v>
      </c>
    </row>
    <row r="56" spans="1:16" ht="43.2" x14ac:dyDescent="0.3">
      <c r="A56" s="22" t="s">
        <v>66</v>
      </c>
      <c r="B56" s="29" t="s">
        <v>67</v>
      </c>
      <c r="C56" s="23">
        <v>1817</v>
      </c>
      <c r="D56" s="22" t="s">
        <v>13</v>
      </c>
      <c r="E56" s="22" t="s">
        <v>14</v>
      </c>
      <c r="F56" s="23">
        <v>38</v>
      </c>
      <c r="G56" s="25">
        <v>44295</v>
      </c>
      <c r="H56" s="23" t="s">
        <v>15</v>
      </c>
      <c r="I56" s="23" t="s">
        <v>16</v>
      </c>
      <c r="J56" s="23">
        <v>-1</v>
      </c>
      <c r="K56" s="23">
        <v>1</v>
      </c>
      <c r="L56" s="23">
        <v>0</v>
      </c>
      <c r="M56" s="23">
        <v>0</v>
      </c>
      <c r="N56" s="23">
        <v>0</v>
      </c>
      <c r="O56" s="28">
        <f>K56-L56-M56-N56</f>
        <v>1</v>
      </c>
      <c r="P56" s="44" t="s">
        <v>108</v>
      </c>
    </row>
    <row r="57" spans="1:16" ht="57.6" x14ac:dyDescent="0.3">
      <c r="A57" s="30" t="s">
        <v>68</v>
      </c>
      <c r="B57" s="29" t="s">
        <v>67</v>
      </c>
      <c r="C57" s="23">
        <v>1817</v>
      </c>
      <c r="D57" s="22" t="s">
        <v>13</v>
      </c>
      <c r="E57" s="22" t="s">
        <v>14</v>
      </c>
      <c r="F57" s="23">
        <v>42</v>
      </c>
      <c r="G57" s="25">
        <v>44295</v>
      </c>
      <c r="H57" s="23" t="s">
        <v>15</v>
      </c>
      <c r="I57" s="23" t="s">
        <v>16</v>
      </c>
      <c r="J57" s="23">
        <v>-1</v>
      </c>
      <c r="K57" s="23">
        <v>1</v>
      </c>
      <c r="L57" s="23">
        <v>0</v>
      </c>
      <c r="M57" s="23">
        <v>0</v>
      </c>
      <c r="N57" s="23">
        <v>0</v>
      </c>
      <c r="O57" s="28">
        <f>K57-L57-M57-N57</f>
        <v>1</v>
      </c>
      <c r="P57" s="44" t="s">
        <v>109</v>
      </c>
    </row>
    <row r="58" spans="1:16" ht="72" x14ac:dyDescent="0.3">
      <c r="A58" s="31" t="s">
        <v>58</v>
      </c>
      <c r="B58" s="29" t="s">
        <v>40</v>
      </c>
      <c r="C58" s="23">
        <v>1817</v>
      </c>
      <c r="D58" s="24" t="s">
        <v>13</v>
      </c>
      <c r="E58" s="24" t="s">
        <v>14</v>
      </c>
      <c r="F58" s="23">
        <v>23</v>
      </c>
      <c r="G58" s="25">
        <v>44295</v>
      </c>
      <c r="H58" s="23" t="s">
        <v>15</v>
      </c>
      <c r="I58" s="23" t="s">
        <v>16</v>
      </c>
      <c r="J58" s="23">
        <v>-1</v>
      </c>
      <c r="K58" s="23">
        <v>3</v>
      </c>
      <c r="L58" s="23">
        <v>0</v>
      </c>
      <c r="M58" s="23">
        <v>0</v>
      </c>
      <c r="N58" s="23">
        <v>0</v>
      </c>
      <c r="O58" s="28">
        <v>3</v>
      </c>
      <c r="P58" s="44" t="s">
        <v>110</v>
      </c>
    </row>
    <row r="59" spans="1:16" ht="57.6" x14ac:dyDescent="0.3">
      <c r="A59" s="24" t="s">
        <v>38</v>
      </c>
      <c r="B59" s="29" t="s">
        <v>24</v>
      </c>
      <c r="C59" s="23">
        <v>1817</v>
      </c>
      <c r="D59" s="24" t="s">
        <v>13</v>
      </c>
      <c r="E59" s="24" t="s">
        <v>14</v>
      </c>
      <c r="F59" s="23">
        <v>19</v>
      </c>
      <c r="G59" s="25">
        <v>44295</v>
      </c>
      <c r="H59" s="23" t="s">
        <v>15</v>
      </c>
      <c r="I59" s="23" t="s">
        <v>16</v>
      </c>
      <c r="J59" s="23">
        <v>-1</v>
      </c>
      <c r="K59" s="23">
        <v>1</v>
      </c>
      <c r="L59" s="23">
        <v>0</v>
      </c>
      <c r="M59" s="23">
        <v>0</v>
      </c>
      <c r="N59" s="23">
        <v>0</v>
      </c>
      <c r="O59" s="28">
        <f>K59-L59-M59-N59</f>
        <v>1</v>
      </c>
      <c r="P59" s="44" t="s">
        <v>104</v>
      </c>
    </row>
    <row r="60" spans="1:16" ht="14.4" x14ac:dyDescent="0.3">
      <c r="A60" s="22" t="s">
        <v>34</v>
      </c>
      <c r="B60" s="29" t="s">
        <v>35</v>
      </c>
      <c r="C60" s="23">
        <v>1817</v>
      </c>
      <c r="D60" s="22" t="s">
        <v>13</v>
      </c>
      <c r="E60" s="22" t="s">
        <v>14</v>
      </c>
      <c r="F60" s="23">
        <v>34</v>
      </c>
      <c r="G60" s="25">
        <v>44295</v>
      </c>
      <c r="H60" s="23" t="s">
        <v>15</v>
      </c>
      <c r="I60" s="23" t="s">
        <v>16</v>
      </c>
      <c r="J60" s="23">
        <v>-1</v>
      </c>
      <c r="K60" s="23">
        <v>2</v>
      </c>
      <c r="L60" s="23">
        <v>0</v>
      </c>
      <c r="M60" s="23">
        <v>0</v>
      </c>
      <c r="N60" s="23">
        <v>0</v>
      </c>
      <c r="O60" s="28">
        <f>K60-L60-M60-N60</f>
        <v>2</v>
      </c>
      <c r="P60" s="40"/>
    </row>
  </sheetData>
  <mergeCells count="1">
    <mergeCell ref="L2:N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6"/>
  <sheetViews>
    <sheetView workbookViewId="0">
      <selection activeCell="B14" sqref="B14"/>
    </sheetView>
  </sheetViews>
  <sheetFormatPr baseColWidth="10" defaultRowHeight="20.399999999999999" customHeight="1" x14ac:dyDescent="0.3"/>
  <cols>
    <col min="1" max="1" width="13.5546875" bestFit="1" customWidth="1"/>
    <col min="2" max="2" width="73.44140625" customWidth="1"/>
    <col min="3" max="3" width="12.6640625" bestFit="1" customWidth="1"/>
    <col min="4" max="4" width="14.6640625" style="20" bestFit="1" customWidth="1"/>
    <col min="5" max="5" width="5" bestFit="1" customWidth="1"/>
    <col min="6" max="6" width="5.33203125" bestFit="1" customWidth="1"/>
    <col min="7" max="7" width="9.33203125" bestFit="1" customWidth="1"/>
    <col min="8" max="8" width="14.33203125" bestFit="1" customWidth="1"/>
    <col min="9" max="9" width="12.6640625" bestFit="1" customWidth="1"/>
    <col min="10" max="10" width="8.109375" bestFit="1" customWidth="1"/>
    <col min="11" max="11" width="4.5546875" bestFit="1" customWidth="1"/>
    <col min="12" max="12" width="1.109375" customWidth="1"/>
    <col min="13" max="13" width="19.5546875" bestFit="1" customWidth="1"/>
    <col min="14" max="14" width="1.6640625" customWidth="1"/>
    <col min="15" max="15" width="4.6640625" customWidth="1"/>
    <col min="16" max="16" width="9.6640625" bestFit="1" customWidth="1"/>
    <col min="17" max="17" width="10" bestFit="1" customWidth="1"/>
    <col min="18" max="18" width="13.5546875" bestFit="1" customWidth="1"/>
  </cols>
  <sheetData>
    <row r="1" spans="1:18" ht="20.399999999999999" customHeight="1" x14ac:dyDescent="0.3">
      <c r="A1" s="1" t="s">
        <v>0</v>
      </c>
      <c r="B1" s="1" t="s">
        <v>1</v>
      </c>
      <c r="C1" s="11" t="s">
        <v>88</v>
      </c>
      <c r="D1" s="19" t="s">
        <v>89</v>
      </c>
      <c r="E1" s="1" t="s">
        <v>79</v>
      </c>
      <c r="F1" s="1" t="s">
        <v>87</v>
      </c>
      <c r="G1" s="15" t="s">
        <v>90</v>
      </c>
      <c r="H1" s="1" t="s">
        <v>91</v>
      </c>
      <c r="I1" s="1" t="s">
        <v>92</v>
      </c>
      <c r="J1" s="1" t="s">
        <v>93</v>
      </c>
      <c r="K1" s="1" t="s">
        <v>78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</row>
    <row r="2" spans="1:18" ht="20.399999999999999" customHeight="1" x14ac:dyDescent="0.3">
      <c r="A2" s="3" t="s">
        <v>27</v>
      </c>
      <c r="B2" s="2" t="s">
        <v>28</v>
      </c>
      <c r="C2" s="12">
        <v>0</v>
      </c>
      <c r="D2" s="45">
        <v>29</v>
      </c>
      <c r="E2" s="3">
        <v>7273</v>
      </c>
      <c r="F2" s="3">
        <v>1</v>
      </c>
      <c r="G2" s="16">
        <v>149600</v>
      </c>
      <c r="H2" s="3">
        <v>0</v>
      </c>
      <c r="I2" s="3">
        <v>0</v>
      </c>
      <c r="J2" s="3">
        <v>4338400</v>
      </c>
      <c r="K2" s="2" t="s">
        <v>94</v>
      </c>
      <c r="L2" s="2" t="s">
        <v>17</v>
      </c>
      <c r="M2" s="2" t="s">
        <v>95</v>
      </c>
      <c r="N2" s="2" t="s">
        <v>96</v>
      </c>
      <c r="O2" s="2" t="s">
        <v>13</v>
      </c>
      <c r="P2" s="4">
        <v>44319</v>
      </c>
      <c r="Q2" s="2" t="s">
        <v>97</v>
      </c>
      <c r="R2" s="2" t="s">
        <v>98</v>
      </c>
    </row>
    <row r="3" spans="1:18" ht="20.399999999999999" customHeight="1" x14ac:dyDescent="0.3">
      <c r="A3" s="3" t="s">
        <v>30</v>
      </c>
      <c r="B3" s="2" t="s">
        <v>31</v>
      </c>
      <c r="C3" s="12">
        <v>0</v>
      </c>
      <c r="D3" s="45">
        <v>4</v>
      </c>
      <c r="E3" s="3">
        <v>7273</v>
      </c>
      <c r="F3" s="3">
        <v>2</v>
      </c>
      <c r="G3" s="16">
        <v>129625</v>
      </c>
      <c r="H3" s="3">
        <v>0</v>
      </c>
      <c r="I3" s="3">
        <v>0</v>
      </c>
      <c r="J3" s="3">
        <v>518500</v>
      </c>
      <c r="K3" s="2" t="s">
        <v>94</v>
      </c>
      <c r="L3" s="2" t="s">
        <v>17</v>
      </c>
      <c r="M3" s="2" t="s">
        <v>95</v>
      </c>
      <c r="N3" s="2" t="s">
        <v>96</v>
      </c>
      <c r="O3" s="2" t="s">
        <v>13</v>
      </c>
      <c r="P3" s="4">
        <v>44319</v>
      </c>
      <c r="Q3" s="2" t="s">
        <v>97</v>
      </c>
      <c r="R3" s="2" t="s">
        <v>98</v>
      </c>
    </row>
    <row r="4" spans="1:18" ht="20.399999999999999" customHeight="1" x14ac:dyDescent="0.3">
      <c r="A4" s="2" t="s">
        <v>46</v>
      </c>
      <c r="B4" s="2" t="s">
        <v>47</v>
      </c>
      <c r="C4" s="12">
        <v>0</v>
      </c>
      <c r="D4" s="45">
        <v>1</v>
      </c>
      <c r="E4" s="3">
        <v>7273</v>
      </c>
      <c r="F4" s="3">
        <v>3</v>
      </c>
      <c r="G4" s="16">
        <v>62570</v>
      </c>
      <c r="H4" s="3">
        <v>0</v>
      </c>
      <c r="I4" s="3">
        <v>0</v>
      </c>
      <c r="J4" s="3">
        <v>62570</v>
      </c>
      <c r="K4" s="2" t="s">
        <v>94</v>
      </c>
      <c r="L4" s="2" t="s">
        <v>17</v>
      </c>
      <c r="M4" s="2" t="s">
        <v>95</v>
      </c>
      <c r="N4" s="2" t="s">
        <v>96</v>
      </c>
      <c r="O4" s="2" t="s">
        <v>13</v>
      </c>
      <c r="P4" s="4">
        <v>44319</v>
      </c>
      <c r="Q4" s="2" t="s">
        <v>97</v>
      </c>
      <c r="R4" s="2" t="s">
        <v>98</v>
      </c>
    </row>
    <row r="5" spans="1:18" ht="20.399999999999999" customHeight="1" x14ac:dyDescent="0.3">
      <c r="A5" s="2" t="s">
        <v>64</v>
      </c>
      <c r="B5" s="2" t="s">
        <v>65</v>
      </c>
      <c r="C5" s="12">
        <v>0</v>
      </c>
      <c r="D5" s="45">
        <v>3</v>
      </c>
      <c r="E5" s="3">
        <v>7273</v>
      </c>
      <c r="F5" s="3">
        <v>4</v>
      </c>
      <c r="G5" s="16">
        <v>475345</v>
      </c>
      <c r="H5" s="3">
        <v>0</v>
      </c>
      <c r="I5" s="3">
        <v>0</v>
      </c>
      <c r="J5" s="3">
        <v>1426035</v>
      </c>
      <c r="K5" s="2" t="s">
        <v>94</v>
      </c>
      <c r="L5" s="2" t="s">
        <v>17</v>
      </c>
      <c r="M5" s="2" t="s">
        <v>95</v>
      </c>
      <c r="N5" s="2" t="s">
        <v>96</v>
      </c>
      <c r="O5" s="2" t="s">
        <v>13</v>
      </c>
      <c r="P5" s="4">
        <v>44319</v>
      </c>
      <c r="Q5" s="2" t="s">
        <v>97</v>
      </c>
      <c r="R5" s="2" t="s">
        <v>98</v>
      </c>
    </row>
    <row r="6" spans="1:18" ht="20.399999999999999" customHeight="1" x14ac:dyDescent="0.3">
      <c r="A6" s="2" t="s">
        <v>71</v>
      </c>
      <c r="B6" s="2" t="s">
        <v>72</v>
      </c>
      <c r="C6" s="12">
        <v>0</v>
      </c>
      <c r="D6" s="45">
        <v>1</v>
      </c>
      <c r="E6" s="3">
        <v>7273</v>
      </c>
      <c r="F6" s="3">
        <v>5</v>
      </c>
      <c r="G6" s="16">
        <v>475345</v>
      </c>
      <c r="H6" s="3">
        <v>0</v>
      </c>
      <c r="I6" s="3">
        <v>0</v>
      </c>
      <c r="J6" s="3">
        <v>475345</v>
      </c>
      <c r="K6" s="2" t="s">
        <v>94</v>
      </c>
      <c r="L6" s="2" t="s">
        <v>17</v>
      </c>
      <c r="M6" s="2" t="s">
        <v>95</v>
      </c>
      <c r="N6" s="2" t="s">
        <v>96</v>
      </c>
      <c r="O6" s="2" t="s">
        <v>13</v>
      </c>
      <c r="P6" s="4">
        <v>44319</v>
      </c>
      <c r="Q6" s="2" t="s">
        <v>97</v>
      </c>
      <c r="R6" s="2" t="s">
        <v>98</v>
      </c>
    </row>
    <row r="7" spans="1:18" ht="20.399999999999999" customHeight="1" x14ac:dyDescent="0.3">
      <c r="A7" s="5" t="s">
        <v>11</v>
      </c>
      <c r="B7" s="5" t="s">
        <v>12</v>
      </c>
      <c r="C7" s="13">
        <v>0</v>
      </c>
      <c r="D7" s="46">
        <v>6</v>
      </c>
      <c r="E7" s="6">
        <v>7465</v>
      </c>
      <c r="F7" s="6">
        <v>1</v>
      </c>
      <c r="G7" s="17">
        <v>323235</v>
      </c>
      <c r="H7" s="6">
        <v>0</v>
      </c>
      <c r="I7" s="6">
        <v>0</v>
      </c>
      <c r="J7" s="6">
        <v>1939410</v>
      </c>
      <c r="K7" s="5" t="s">
        <v>94</v>
      </c>
      <c r="L7" s="5" t="s">
        <v>17</v>
      </c>
      <c r="M7" s="5" t="s">
        <v>95</v>
      </c>
      <c r="N7" s="5" t="s">
        <v>96</v>
      </c>
      <c r="O7" s="5" t="s">
        <v>13</v>
      </c>
      <c r="P7" s="7">
        <v>44382</v>
      </c>
      <c r="Q7" s="5" t="s">
        <v>97</v>
      </c>
      <c r="R7" s="5" t="s">
        <v>98</v>
      </c>
    </row>
    <row r="8" spans="1:18" ht="20.399999999999999" customHeight="1" x14ac:dyDescent="0.3">
      <c r="A8" s="5" t="s">
        <v>18</v>
      </c>
      <c r="B8" s="5" t="s">
        <v>19</v>
      </c>
      <c r="C8" s="13">
        <v>0</v>
      </c>
      <c r="D8" s="46">
        <v>3</v>
      </c>
      <c r="E8" s="6">
        <v>7465</v>
      </c>
      <c r="F8" s="6">
        <v>2</v>
      </c>
      <c r="G8" s="17">
        <v>62570</v>
      </c>
      <c r="H8" s="6">
        <v>0</v>
      </c>
      <c r="I8" s="6">
        <v>0</v>
      </c>
      <c r="J8" s="6">
        <v>187710</v>
      </c>
      <c r="K8" s="5" t="s">
        <v>94</v>
      </c>
      <c r="L8" s="5" t="s">
        <v>17</v>
      </c>
      <c r="M8" s="5" t="s">
        <v>95</v>
      </c>
      <c r="N8" s="5" t="s">
        <v>96</v>
      </c>
      <c r="O8" s="5" t="s">
        <v>13</v>
      </c>
      <c r="P8" s="7">
        <v>44382</v>
      </c>
      <c r="Q8" s="5" t="s">
        <v>97</v>
      </c>
      <c r="R8" s="5" t="s">
        <v>98</v>
      </c>
    </row>
    <row r="9" spans="1:18" ht="20.399999999999999" customHeight="1" x14ac:dyDescent="0.3">
      <c r="A9" s="5" t="s">
        <v>21</v>
      </c>
      <c r="B9" s="5" t="s">
        <v>22</v>
      </c>
      <c r="C9" s="13">
        <v>0</v>
      </c>
      <c r="D9" s="46">
        <v>2</v>
      </c>
      <c r="E9" s="6">
        <v>7465</v>
      </c>
      <c r="F9" s="6">
        <v>3</v>
      </c>
      <c r="G9" s="17">
        <v>163811</v>
      </c>
      <c r="H9" s="6">
        <v>0</v>
      </c>
      <c r="I9" s="6">
        <v>0</v>
      </c>
      <c r="J9" s="6">
        <v>327622</v>
      </c>
      <c r="K9" s="5" t="s">
        <v>94</v>
      </c>
      <c r="L9" s="5" t="s">
        <v>17</v>
      </c>
      <c r="M9" s="5" t="s">
        <v>95</v>
      </c>
      <c r="N9" s="5" t="s">
        <v>96</v>
      </c>
      <c r="O9" s="5" t="s">
        <v>13</v>
      </c>
      <c r="P9" s="7">
        <v>44382</v>
      </c>
      <c r="Q9" s="5" t="s">
        <v>97</v>
      </c>
      <c r="R9" s="5" t="s">
        <v>98</v>
      </c>
    </row>
    <row r="10" spans="1:18" ht="20.399999999999999" customHeight="1" x14ac:dyDescent="0.3">
      <c r="A10" s="5" t="s">
        <v>23</v>
      </c>
      <c r="B10" s="5" t="s">
        <v>24</v>
      </c>
      <c r="C10" s="13">
        <v>0</v>
      </c>
      <c r="D10" s="46">
        <v>2</v>
      </c>
      <c r="E10" s="6">
        <v>7465</v>
      </c>
      <c r="F10" s="6">
        <v>4</v>
      </c>
      <c r="G10" s="17">
        <v>441968</v>
      </c>
      <c r="H10" s="6">
        <v>0</v>
      </c>
      <c r="I10" s="6">
        <v>0</v>
      </c>
      <c r="J10" s="6">
        <v>883936</v>
      </c>
      <c r="K10" s="5" t="s">
        <v>94</v>
      </c>
      <c r="L10" s="5" t="s">
        <v>17</v>
      </c>
      <c r="M10" s="5" t="s">
        <v>95</v>
      </c>
      <c r="N10" s="5" t="s">
        <v>96</v>
      </c>
      <c r="O10" s="5" t="s">
        <v>13</v>
      </c>
      <c r="P10" s="7">
        <v>44382</v>
      </c>
      <c r="Q10" s="5" t="s">
        <v>97</v>
      </c>
      <c r="R10" s="5" t="s">
        <v>98</v>
      </c>
    </row>
    <row r="11" spans="1:18" ht="20.399999999999999" customHeight="1" x14ac:dyDescent="0.3">
      <c r="A11" s="5" t="s">
        <v>36</v>
      </c>
      <c r="B11" s="5" t="s">
        <v>37</v>
      </c>
      <c r="C11" s="13">
        <v>0</v>
      </c>
      <c r="D11" s="46">
        <v>5</v>
      </c>
      <c r="E11" s="6">
        <v>7465</v>
      </c>
      <c r="F11" s="6">
        <v>5</v>
      </c>
      <c r="G11" s="17">
        <v>53554</v>
      </c>
      <c r="H11" s="6">
        <v>0</v>
      </c>
      <c r="I11" s="6">
        <v>0</v>
      </c>
      <c r="J11" s="6">
        <v>267770</v>
      </c>
      <c r="K11" s="5" t="s">
        <v>94</v>
      </c>
      <c r="L11" s="5" t="s">
        <v>17</v>
      </c>
      <c r="M11" s="5" t="s">
        <v>95</v>
      </c>
      <c r="N11" s="5" t="s">
        <v>96</v>
      </c>
      <c r="O11" s="5" t="s">
        <v>13</v>
      </c>
      <c r="P11" s="7">
        <v>44382</v>
      </c>
      <c r="Q11" s="5" t="s">
        <v>97</v>
      </c>
      <c r="R11" s="5" t="s">
        <v>98</v>
      </c>
    </row>
    <row r="12" spans="1:18" ht="20.399999999999999" customHeight="1" x14ac:dyDescent="0.3">
      <c r="A12" s="5" t="s">
        <v>38</v>
      </c>
      <c r="B12" s="5" t="s">
        <v>24</v>
      </c>
      <c r="C12" s="13">
        <v>0</v>
      </c>
      <c r="D12" s="46">
        <v>1</v>
      </c>
      <c r="E12" s="6">
        <v>7465</v>
      </c>
      <c r="F12" s="6">
        <v>6</v>
      </c>
      <c r="G12" s="17">
        <v>567021</v>
      </c>
      <c r="H12" s="6">
        <v>0</v>
      </c>
      <c r="I12" s="6">
        <v>0</v>
      </c>
      <c r="J12" s="6">
        <v>567021</v>
      </c>
      <c r="K12" s="5" t="s">
        <v>94</v>
      </c>
      <c r="L12" s="5" t="s">
        <v>17</v>
      </c>
      <c r="M12" s="5" t="s">
        <v>95</v>
      </c>
      <c r="N12" s="5" t="s">
        <v>96</v>
      </c>
      <c r="O12" s="5" t="s">
        <v>13</v>
      </c>
      <c r="P12" s="7">
        <v>44382</v>
      </c>
      <c r="Q12" s="5" t="s">
        <v>97</v>
      </c>
      <c r="R12" s="5" t="s">
        <v>98</v>
      </c>
    </row>
    <row r="13" spans="1:18" ht="20.399999999999999" customHeight="1" x14ac:dyDescent="0.3">
      <c r="A13" s="5" t="s">
        <v>39</v>
      </c>
      <c r="B13" s="5" t="s">
        <v>40</v>
      </c>
      <c r="C13" s="13">
        <v>0</v>
      </c>
      <c r="D13" s="46">
        <v>1</v>
      </c>
      <c r="E13" s="6">
        <v>7465</v>
      </c>
      <c r="F13" s="6">
        <v>7</v>
      </c>
      <c r="G13" s="17">
        <v>567021</v>
      </c>
      <c r="H13" s="6">
        <v>0</v>
      </c>
      <c r="I13" s="6">
        <v>0</v>
      </c>
      <c r="J13" s="6">
        <v>567021</v>
      </c>
      <c r="K13" s="5" t="s">
        <v>94</v>
      </c>
      <c r="L13" s="5" t="s">
        <v>17</v>
      </c>
      <c r="M13" s="5" t="s">
        <v>95</v>
      </c>
      <c r="N13" s="5" t="s">
        <v>96</v>
      </c>
      <c r="O13" s="5" t="s">
        <v>13</v>
      </c>
      <c r="P13" s="7">
        <v>44382</v>
      </c>
      <c r="Q13" s="5" t="s">
        <v>97</v>
      </c>
      <c r="R13" s="5" t="s">
        <v>98</v>
      </c>
    </row>
    <row r="14" spans="1:18" ht="20.399999999999999" customHeight="1" x14ac:dyDescent="0.3">
      <c r="A14" s="5" t="s">
        <v>44</v>
      </c>
      <c r="B14" s="5" t="s">
        <v>45</v>
      </c>
      <c r="C14" s="13">
        <v>0</v>
      </c>
      <c r="D14" s="46">
        <v>10</v>
      </c>
      <c r="E14" s="6">
        <v>7465</v>
      </c>
      <c r="F14" s="6">
        <v>8</v>
      </c>
      <c r="G14" s="17">
        <v>323235</v>
      </c>
      <c r="H14" s="6">
        <v>0</v>
      </c>
      <c r="I14" s="6">
        <v>0</v>
      </c>
      <c r="J14" s="6">
        <v>3232350</v>
      </c>
      <c r="K14" s="5" t="s">
        <v>94</v>
      </c>
      <c r="L14" s="5" t="s">
        <v>17</v>
      </c>
      <c r="M14" s="5" t="s">
        <v>95</v>
      </c>
      <c r="N14" s="5" t="s">
        <v>96</v>
      </c>
      <c r="O14" s="5" t="s">
        <v>13</v>
      </c>
      <c r="P14" s="7">
        <v>44382</v>
      </c>
      <c r="Q14" s="5" t="s">
        <v>97</v>
      </c>
      <c r="R14" s="5" t="s">
        <v>98</v>
      </c>
    </row>
    <row r="15" spans="1:18" ht="20.399999999999999" customHeight="1" x14ac:dyDescent="0.3">
      <c r="A15" s="5" t="s">
        <v>46</v>
      </c>
      <c r="B15" s="5" t="s">
        <v>47</v>
      </c>
      <c r="C15" s="13">
        <v>0</v>
      </c>
      <c r="D15" s="46">
        <v>11</v>
      </c>
      <c r="E15" s="6">
        <v>7465</v>
      </c>
      <c r="F15" s="6">
        <v>9</v>
      </c>
      <c r="G15" s="17">
        <v>62570</v>
      </c>
      <c r="H15" s="6">
        <v>0</v>
      </c>
      <c r="I15" s="6">
        <v>0</v>
      </c>
      <c r="J15" s="6">
        <v>688270</v>
      </c>
      <c r="K15" s="5" t="s">
        <v>94</v>
      </c>
      <c r="L15" s="5" t="s">
        <v>17</v>
      </c>
      <c r="M15" s="5" t="s">
        <v>95</v>
      </c>
      <c r="N15" s="5" t="s">
        <v>96</v>
      </c>
      <c r="O15" s="5" t="s">
        <v>13</v>
      </c>
      <c r="P15" s="7">
        <v>44382</v>
      </c>
      <c r="Q15" s="5" t="s">
        <v>97</v>
      </c>
      <c r="R15" s="5" t="s">
        <v>98</v>
      </c>
    </row>
    <row r="16" spans="1:18" ht="20.399999999999999" customHeight="1" x14ac:dyDescent="0.3">
      <c r="A16" s="5" t="s">
        <v>48</v>
      </c>
      <c r="B16" s="5" t="s">
        <v>49</v>
      </c>
      <c r="C16" s="13">
        <v>0</v>
      </c>
      <c r="D16" s="46">
        <v>2</v>
      </c>
      <c r="E16" s="6">
        <v>7465</v>
      </c>
      <c r="F16" s="6">
        <v>10</v>
      </c>
      <c r="G16" s="17">
        <v>163811</v>
      </c>
      <c r="H16" s="6">
        <v>0</v>
      </c>
      <c r="I16" s="6">
        <v>0</v>
      </c>
      <c r="J16" s="6">
        <v>327622</v>
      </c>
      <c r="K16" s="5" t="s">
        <v>94</v>
      </c>
      <c r="L16" s="5" t="s">
        <v>17</v>
      </c>
      <c r="M16" s="5" t="s">
        <v>95</v>
      </c>
      <c r="N16" s="5" t="s">
        <v>96</v>
      </c>
      <c r="O16" s="5" t="s">
        <v>13</v>
      </c>
      <c r="P16" s="7">
        <v>44382</v>
      </c>
      <c r="Q16" s="5" t="s">
        <v>97</v>
      </c>
      <c r="R16" s="5" t="s">
        <v>98</v>
      </c>
    </row>
    <row r="17" spans="1:18" ht="20.399999999999999" customHeight="1" x14ac:dyDescent="0.3">
      <c r="A17" s="5" t="s">
        <v>50</v>
      </c>
      <c r="B17" s="5" t="s">
        <v>51</v>
      </c>
      <c r="C17" s="13">
        <v>0</v>
      </c>
      <c r="D17" s="46">
        <v>13</v>
      </c>
      <c r="E17" s="6">
        <v>7465</v>
      </c>
      <c r="F17" s="6">
        <v>11</v>
      </c>
      <c r="G17" s="17">
        <v>163811</v>
      </c>
      <c r="H17" s="6">
        <v>0</v>
      </c>
      <c r="I17" s="6">
        <v>0</v>
      </c>
      <c r="J17" s="6">
        <v>2129543</v>
      </c>
      <c r="K17" s="5" t="s">
        <v>94</v>
      </c>
      <c r="L17" s="5" t="s">
        <v>17</v>
      </c>
      <c r="M17" s="5" t="s">
        <v>95</v>
      </c>
      <c r="N17" s="5" t="s">
        <v>96</v>
      </c>
      <c r="O17" s="5" t="s">
        <v>13</v>
      </c>
      <c r="P17" s="7">
        <v>44382</v>
      </c>
      <c r="Q17" s="5" t="s">
        <v>97</v>
      </c>
      <c r="R17" s="5" t="s">
        <v>98</v>
      </c>
    </row>
    <row r="18" spans="1:18" ht="20.399999999999999" customHeight="1" x14ac:dyDescent="0.3">
      <c r="A18" s="5" t="s">
        <v>52</v>
      </c>
      <c r="B18" s="5" t="s">
        <v>53</v>
      </c>
      <c r="C18" s="13">
        <v>0</v>
      </c>
      <c r="D18" s="46">
        <v>15</v>
      </c>
      <c r="E18" s="6">
        <v>7465</v>
      </c>
      <c r="F18" s="6">
        <v>12</v>
      </c>
      <c r="G18" s="17">
        <v>163811</v>
      </c>
      <c r="H18" s="6">
        <v>0</v>
      </c>
      <c r="I18" s="6">
        <v>0</v>
      </c>
      <c r="J18" s="6">
        <v>2457165</v>
      </c>
      <c r="K18" s="5" t="s">
        <v>94</v>
      </c>
      <c r="L18" s="5" t="s">
        <v>17</v>
      </c>
      <c r="M18" s="5" t="s">
        <v>95</v>
      </c>
      <c r="N18" s="5" t="s">
        <v>96</v>
      </c>
      <c r="O18" s="5" t="s">
        <v>13</v>
      </c>
      <c r="P18" s="7">
        <v>44382</v>
      </c>
      <c r="Q18" s="5" t="s">
        <v>97</v>
      </c>
      <c r="R18" s="5" t="s">
        <v>98</v>
      </c>
    </row>
    <row r="19" spans="1:18" ht="20.399999999999999" customHeight="1" x14ac:dyDescent="0.3">
      <c r="A19" s="5" t="s">
        <v>54</v>
      </c>
      <c r="B19" s="5" t="s">
        <v>55</v>
      </c>
      <c r="C19" s="13">
        <v>0</v>
      </c>
      <c r="D19" s="46">
        <v>1</v>
      </c>
      <c r="E19" s="6">
        <v>7465</v>
      </c>
      <c r="F19" s="6">
        <v>13</v>
      </c>
      <c r="G19" s="17">
        <v>567021</v>
      </c>
      <c r="H19" s="6">
        <v>0</v>
      </c>
      <c r="I19" s="6">
        <v>0</v>
      </c>
      <c r="J19" s="6">
        <v>567021</v>
      </c>
      <c r="K19" s="5" t="s">
        <v>94</v>
      </c>
      <c r="L19" s="5" t="s">
        <v>17</v>
      </c>
      <c r="M19" s="5" t="s">
        <v>95</v>
      </c>
      <c r="N19" s="5" t="s">
        <v>96</v>
      </c>
      <c r="O19" s="5" t="s">
        <v>13</v>
      </c>
      <c r="P19" s="7">
        <v>44382</v>
      </c>
      <c r="Q19" s="5" t="s">
        <v>97</v>
      </c>
      <c r="R19" s="5" t="s">
        <v>98</v>
      </c>
    </row>
    <row r="20" spans="1:18" ht="20.399999999999999" customHeight="1" x14ac:dyDescent="0.3">
      <c r="A20" s="5" t="s">
        <v>56</v>
      </c>
      <c r="B20" s="5" t="s">
        <v>57</v>
      </c>
      <c r="C20" s="13">
        <v>0</v>
      </c>
      <c r="D20" s="46">
        <v>2</v>
      </c>
      <c r="E20" s="6">
        <v>7465</v>
      </c>
      <c r="F20" s="6">
        <v>14</v>
      </c>
      <c r="G20" s="17">
        <v>441968</v>
      </c>
      <c r="H20" s="6">
        <v>0</v>
      </c>
      <c r="I20" s="6">
        <v>0</v>
      </c>
      <c r="J20" s="6">
        <v>883936</v>
      </c>
      <c r="K20" s="5" t="s">
        <v>94</v>
      </c>
      <c r="L20" s="5" t="s">
        <v>17</v>
      </c>
      <c r="M20" s="5" t="s">
        <v>95</v>
      </c>
      <c r="N20" s="5" t="s">
        <v>96</v>
      </c>
      <c r="O20" s="5" t="s">
        <v>13</v>
      </c>
      <c r="P20" s="7">
        <v>44382</v>
      </c>
      <c r="Q20" s="5" t="s">
        <v>97</v>
      </c>
      <c r="R20" s="5" t="s">
        <v>98</v>
      </c>
    </row>
    <row r="21" spans="1:18" ht="20.399999999999999" customHeight="1" x14ac:dyDescent="0.3">
      <c r="A21" s="5" t="s">
        <v>58</v>
      </c>
      <c r="B21" s="5" t="s">
        <v>40</v>
      </c>
      <c r="C21" s="13">
        <v>0</v>
      </c>
      <c r="D21" s="46">
        <v>1</v>
      </c>
      <c r="E21" s="6">
        <v>7465</v>
      </c>
      <c r="F21" s="6">
        <v>15</v>
      </c>
      <c r="G21" s="17">
        <v>567021</v>
      </c>
      <c r="H21" s="6">
        <v>0</v>
      </c>
      <c r="I21" s="6">
        <v>0</v>
      </c>
      <c r="J21" s="6">
        <v>567021</v>
      </c>
      <c r="K21" s="5" t="s">
        <v>94</v>
      </c>
      <c r="L21" s="5" t="s">
        <v>17</v>
      </c>
      <c r="M21" s="5" t="s">
        <v>95</v>
      </c>
      <c r="N21" s="5" t="s">
        <v>96</v>
      </c>
      <c r="O21" s="5" t="s">
        <v>13</v>
      </c>
      <c r="P21" s="7">
        <v>44382</v>
      </c>
      <c r="Q21" s="5" t="s">
        <v>97</v>
      </c>
      <c r="R21" s="5" t="s">
        <v>98</v>
      </c>
    </row>
    <row r="22" spans="1:18" ht="20.399999999999999" customHeight="1" x14ac:dyDescent="0.3">
      <c r="A22" s="8" t="s">
        <v>25</v>
      </c>
      <c r="B22" s="8" t="s">
        <v>26</v>
      </c>
      <c r="C22" s="14">
        <v>0</v>
      </c>
      <c r="D22" s="47">
        <v>2</v>
      </c>
      <c r="E22" s="9">
        <v>7466</v>
      </c>
      <c r="F22" s="9">
        <v>1</v>
      </c>
      <c r="G22" s="18">
        <v>271773</v>
      </c>
      <c r="H22" s="9">
        <v>0</v>
      </c>
      <c r="I22" s="9">
        <v>0</v>
      </c>
      <c r="J22" s="9">
        <v>543546</v>
      </c>
      <c r="K22" s="8" t="s">
        <v>94</v>
      </c>
      <c r="L22" s="8" t="s">
        <v>17</v>
      </c>
      <c r="M22" s="8" t="s">
        <v>95</v>
      </c>
      <c r="N22" s="8" t="s">
        <v>96</v>
      </c>
      <c r="O22" s="8" t="s">
        <v>13</v>
      </c>
      <c r="P22" s="10">
        <v>44382</v>
      </c>
      <c r="Q22" s="8" t="s">
        <v>97</v>
      </c>
      <c r="R22" s="8" t="s">
        <v>98</v>
      </c>
    </row>
    <row r="23" spans="1:18" ht="20.399999999999999" customHeight="1" x14ac:dyDescent="0.3">
      <c r="A23" s="8" t="s">
        <v>32</v>
      </c>
      <c r="B23" s="8" t="s">
        <v>33</v>
      </c>
      <c r="C23" s="14">
        <v>0</v>
      </c>
      <c r="D23" s="47">
        <v>2</v>
      </c>
      <c r="E23" s="9">
        <v>7466</v>
      </c>
      <c r="F23" s="9">
        <v>2</v>
      </c>
      <c r="G23" s="18">
        <v>161149</v>
      </c>
      <c r="H23" s="9">
        <v>0</v>
      </c>
      <c r="I23" s="9">
        <v>0</v>
      </c>
      <c r="J23" s="9">
        <v>322298</v>
      </c>
      <c r="K23" s="8" t="s">
        <v>94</v>
      </c>
      <c r="L23" s="8" t="s">
        <v>17</v>
      </c>
      <c r="M23" s="8" t="s">
        <v>95</v>
      </c>
      <c r="N23" s="8" t="s">
        <v>96</v>
      </c>
      <c r="O23" s="8" t="s">
        <v>13</v>
      </c>
      <c r="P23" s="10">
        <v>44382</v>
      </c>
      <c r="Q23" s="8" t="s">
        <v>97</v>
      </c>
      <c r="R23" s="8" t="s">
        <v>98</v>
      </c>
    </row>
    <row r="24" spans="1:18" ht="20.399999999999999" customHeight="1" x14ac:dyDescent="0.3">
      <c r="A24" s="8" t="s">
        <v>34</v>
      </c>
      <c r="B24" s="8" t="s">
        <v>35</v>
      </c>
      <c r="C24" s="14">
        <v>0</v>
      </c>
      <c r="D24" s="47">
        <v>2</v>
      </c>
      <c r="E24" s="9">
        <v>7466</v>
      </c>
      <c r="F24" s="9">
        <v>3</v>
      </c>
      <c r="G24" s="18">
        <v>161149</v>
      </c>
      <c r="H24" s="9">
        <v>0</v>
      </c>
      <c r="I24" s="9">
        <v>0</v>
      </c>
      <c r="J24" s="9">
        <v>322298</v>
      </c>
      <c r="K24" s="8" t="s">
        <v>94</v>
      </c>
      <c r="L24" s="8" t="s">
        <v>17</v>
      </c>
      <c r="M24" s="8" t="s">
        <v>95</v>
      </c>
      <c r="N24" s="8" t="s">
        <v>96</v>
      </c>
      <c r="O24" s="8" t="s">
        <v>13</v>
      </c>
      <c r="P24" s="10">
        <v>44382</v>
      </c>
      <c r="Q24" s="8" t="s">
        <v>97</v>
      </c>
      <c r="R24" s="8" t="s">
        <v>98</v>
      </c>
    </row>
    <row r="25" spans="1:18" ht="20.399999999999999" customHeight="1" x14ac:dyDescent="0.3">
      <c r="A25" s="8" t="s">
        <v>41</v>
      </c>
      <c r="B25" s="8" t="s">
        <v>42</v>
      </c>
      <c r="C25" s="14">
        <v>0</v>
      </c>
      <c r="D25" s="47">
        <v>1</v>
      </c>
      <c r="E25" s="9">
        <v>7466</v>
      </c>
      <c r="F25" s="9">
        <v>4</v>
      </c>
      <c r="G25" s="18">
        <v>725000</v>
      </c>
      <c r="H25" s="9">
        <v>0</v>
      </c>
      <c r="I25" s="9">
        <v>0</v>
      </c>
      <c r="J25" s="9">
        <v>725000</v>
      </c>
      <c r="K25" s="8" t="s">
        <v>94</v>
      </c>
      <c r="L25" s="8" t="s">
        <v>17</v>
      </c>
      <c r="M25" s="8" t="s">
        <v>95</v>
      </c>
      <c r="N25" s="8" t="s">
        <v>96</v>
      </c>
      <c r="O25" s="8" t="s">
        <v>13</v>
      </c>
      <c r="P25" s="10">
        <v>44382</v>
      </c>
      <c r="Q25" s="8" t="s">
        <v>97</v>
      </c>
      <c r="R25" s="8" t="s">
        <v>98</v>
      </c>
    </row>
    <row r="26" spans="1:18" ht="20.399999999999999" customHeight="1" x14ac:dyDescent="0.3">
      <c r="A26" s="8" t="s">
        <v>39</v>
      </c>
      <c r="B26" s="8" t="s">
        <v>40</v>
      </c>
      <c r="C26" s="14">
        <v>0</v>
      </c>
      <c r="D26" s="47">
        <v>1</v>
      </c>
      <c r="E26" s="9">
        <v>7466</v>
      </c>
      <c r="F26" s="9">
        <v>5</v>
      </c>
      <c r="G26" s="18">
        <v>567021</v>
      </c>
      <c r="H26" s="9">
        <v>0</v>
      </c>
      <c r="I26" s="9">
        <v>0</v>
      </c>
      <c r="J26" s="9">
        <v>567021</v>
      </c>
      <c r="K26" s="8" t="s">
        <v>94</v>
      </c>
      <c r="L26" s="8" t="s">
        <v>17</v>
      </c>
      <c r="M26" s="8" t="s">
        <v>95</v>
      </c>
      <c r="N26" s="8" t="s">
        <v>96</v>
      </c>
      <c r="O26" s="8" t="s">
        <v>13</v>
      </c>
      <c r="P26" s="10">
        <v>44382</v>
      </c>
      <c r="Q26" s="8" t="s">
        <v>97</v>
      </c>
      <c r="R26" s="8" t="s">
        <v>98</v>
      </c>
    </row>
    <row r="27" spans="1:18" ht="20.399999999999999" customHeight="1" x14ac:dyDescent="0.3">
      <c r="A27" s="8" t="s">
        <v>59</v>
      </c>
      <c r="B27" s="8" t="s">
        <v>60</v>
      </c>
      <c r="C27" s="14">
        <v>0</v>
      </c>
      <c r="D27" s="47">
        <v>1</v>
      </c>
      <c r="E27" s="9">
        <v>7466</v>
      </c>
      <c r="F27" s="9">
        <v>6</v>
      </c>
      <c r="G27" s="18">
        <v>441968</v>
      </c>
      <c r="H27" s="9">
        <v>0</v>
      </c>
      <c r="I27" s="9">
        <v>0</v>
      </c>
      <c r="J27" s="9">
        <v>441968</v>
      </c>
      <c r="K27" s="8" t="s">
        <v>94</v>
      </c>
      <c r="L27" s="8" t="s">
        <v>17</v>
      </c>
      <c r="M27" s="8" t="s">
        <v>95</v>
      </c>
      <c r="N27" s="8" t="s">
        <v>96</v>
      </c>
      <c r="O27" s="8" t="s">
        <v>13</v>
      </c>
      <c r="P27" s="10">
        <v>44382</v>
      </c>
      <c r="Q27" s="8" t="s">
        <v>97</v>
      </c>
      <c r="R27" s="8" t="s">
        <v>98</v>
      </c>
    </row>
    <row r="28" spans="1:18" ht="20.399999999999999" customHeight="1" x14ac:dyDescent="0.3">
      <c r="A28" s="8" t="s">
        <v>61</v>
      </c>
      <c r="B28" s="8" t="s">
        <v>60</v>
      </c>
      <c r="C28" s="14">
        <v>0</v>
      </c>
      <c r="D28" s="47">
        <v>1</v>
      </c>
      <c r="E28" s="9">
        <v>7466</v>
      </c>
      <c r="F28" s="9">
        <v>7</v>
      </c>
      <c r="G28" s="18">
        <v>567021</v>
      </c>
      <c r="H28" s="9">
        <v>0</v>
      </c>
      <c r="I28" s="9">
        <v>0</v>
      </c>
      <c r="J28" s="9">
        <v>567021</v>
      </c>
      <c r="K28" s="8" t="s">
        <v>94</v>
      </c>
      <c r="L28" s="8" t="s">
        <v>17</v>
      </c>
      <c r="M28" s="8" t="s">
        <v>95</v>
      </c>
      <c r="N28" s="8" t="s">
        <v>96</v>
      </c>
      <c r="O28" s="8" t="s">
        <v>13</v>
      </c>
      <c r="P28" s="10">
        <v>44382</v>
      </c>
      <c r="Q28" s="8" t="s">
        <v>97</v>
      </c>
      <c r="R28" s="8" t="s">
        <v>98</v>
      </c>
    </row>
    <row r="29" spans="1:18" ht="20.399999999999999" customHeight="1" x14ac:dyDescent="0.3">
      <c r="A29" s="8" t="s">
        <v>62</v>
      </c>
      <c r="B29" s="8" t="s">
        <v>63</v>
      </c>
      <c r="C29" s="14">
        <v>0</v>
      </c>
      <c r="D29" s="47">
        <v>1</v>
      </c>
      <c r="E29" s="9">
        <v>7466</v>
      </c>
      <c r="F29" s="9">
        <v>8</v>
      </c>
      <c r="G29" s="18">
        <v>441968</v>
      </c>
      <c r="H29" s="9">
        <v>0</v>
      </c>
      <c r="I29" s="9">
        <v>0</v>
      </c>
      <c r="J29" s="9">
        <v>441968</v>
      </c>
      <c r="K29" s="8" t="s">
        <v>94</v>
      </c>
      <c r="L29" s="8" t="s">
        <v>17</v>
      </c>
      <c r="M29" s="8" t="s">
        <v>95</v>
      </c>
      <c r="N29" s="8" t="s">
        <v>96</v>
      </c>
      <c r="O29" s="8" t="s">
        <v>13</v>
      </c>
      <c r="P29" s="10">
        <v>44382</v>
      </c>
      <c r="Q29" s="8" t="s">
        <v>97</v>
      </c>
      <c r="R29" s="8" t="s">
        <v>98</v>
      </c>
    </row>
    <row r="30" spans="1:18" ht="20.399999999999999" customHeight="1" x14ac:dyDescent="0.3">
      <c r="A30" s="8" t="s">
        <v>66</v>
      </c>
      <c r="B30" s="8" t="s">
        <v>67</v>
      </c>
      <c r="C30" s="14">
        <v>0</v>
      </c>
      <c r="D30" s="47">
        <v>1</v>
      </c>
      <c r="E30" s="9">
        <v>7466</v>
      </c>
      <c r="F30" s="9">
        <v>9</v>
      </c>
      <c r="G30" s="18">
        <v>567021</v>
      </c>
      <c r="H30" s="9">
        <v>0</v>
      </c>
      <c r="I30" s="9">
        <v>0</v>
      </c>
      <c r="J30" s="9">
        <v>567021</v>
      </c>
      <c r="K30" s="8" t="s">
        <v>94</v>
      </c>
      <c r="L30" s="8" t="s">
        <v>17</v>
      </c>
      <c r="M30" s="8" t="s">
        <v>95</v>
      </c>
      <c r="N30" s="8" t="s">
        <v>96</v>
      </c>
      <c r="O30" s="8" t="s">
        <v>13</v>
      </c>
      <c r="P30" s="10">
        <v>44382</v>
      </c>
      <c r="Q30" s="8" t="s">
        <v>97</v>
      </c>
      <c r="R30" s="8" t="s">
        <v>98</v>
      </c>
    </row>
    <row r="31" spans="1:18" ht="20.399999999999999" customHeight="1" x14ac:dyDescent="0.3">
      <c r="A31" s="8" t="s">
        <v>68</v>
      </c>
      <c r="B31" s="8" t="s">
        <v>67</v>
      </c>
      <c r="C31" s="14">
        <v>0</v>
      </c>
      <c r="D31" s="47">
        <v>1</v>
      </c>
      <c r="E31" s="9">
        <v>7466</v>
      </c>
      <c r="F31" s="9">
        <v>10</v>
      </c>
      <c r="G31" s="18">
        <v>567021</v>
      </c>
      <c r="H31" s="9">
        <v>0</v>
      </c>
      <c r="I31" s="9">
        <v>0</v>
      </c>
      <c r="J31" s="9">
        <v>567021</v>
      </c>
      <c r="K31" s="8" t="s">
        <v>94</v>
      </c>
      <c r="L31" s="8" t="s">
        <v>17</v>
      </c>
      <c r="M31" s="8" t="s">
        <v>95</v>
      </c>
      <c r="N31" s="8" t="s">
        <v>96</v>
      </c>
      <c r="O31" s="8" t="s">
        <v>13</v>
      </c>
      <c r="P31" s="10">
        <v>44382</v>
      </c>
      <c r="Q31" s="8" t="s">
        <v>97</v>
      </c>
      <c r="R31" s="8" t="s">
        <v>98</v>
      </c>
    </row>
    <row r="32" spans="1:18" ht="20.399999999999999" customHeight="1" x14ac:dyDescent="0.3">
      <c r="A32" s="8" t="s">
        <v>69</v>
      </c>
      <c r="B32" s="8" t="s">
        <v>70</v>
      </c>
      <c r="C32" s="14">
        <v>0</v>
      </c>
      <c r="D32" s="47">
        <v>1</v>
      </c>
      <c r="E32" s="9">
        <v>7466</v>
      </c>
      <c r="F32" s="9">
        <v>11</v>
      </c>
      <c r="G32" s="18">
        <v>567021</v>
      </c>
      <c r="H32" s="9">
        <v>0</v>
      </c>
      <c r="I32" s="9">
        <v>0</v>
      </c>
      <c r="J32" s="9">
        <v>567021</v>
      </c>
      <c r="K32" s="8" t="s">
        <v>94</v>
      </c>
      <c r="L32" s="8" t="s">
        <v>17</v>
      </c>
      <c r="M32" s="8" t="s">
        <v>95</v>
      </c>
      <c r="N32" s="8" t="s">
        <v>96</v>
      </c>
      <c r="O32" s="8" t="s">
        <v>13</v>
      </c>
      <c r="P32" s="10">
        <v>44382</v>
      </c>
      <c r="Q32" s="8" t="s">
        <v>97</v>
      </c>
      <c r="R32" s="8" t="s">
        <v>98</v>
      </c>
    </row>
    <row r="33" spans="1:18" ht="20.399999999999999" customHeight="1" x14ac:dyDescent="0.3">
      <c r="A33" s="8" t="s">
        <v>71</v>
      </c>
      <c r="B33" s="8" t="s">
        <v>72</v>
      </c>
      <c r="C33" s="14">
        <v>0</v>
      </c>
      <c r="D33" s="47">
        <v>2</v>
      </c>
      <c r="E33" s="9">
        <v>7466</v>
      </c>
      <c r="F33" s="9">
        <v>12</v>
      </c>
      <c r="G33" s="18">
        <v>475345</v>
      </c>
      <c r="H33" s="9">
        <v>0</v>
      </c>
      <c r="I33" s="9">
        <v>0</v>
      </c>
      <c r="J33" s="9">
        <v>950690</v>
      </c>
      <c r="K33" s="8" t="s">
        <v>94</v>
      </c>
      <c r="L33" s="8" t="s">
        <v>17</v>
      </c>
      <c r="M33" s="8" t="s">
        <v>95</v>
      </c>
      <c r="N33" s="8" t="s">
        <v>96</v>
      </c>
      <c r="O33" s="8" t="s">
        <v>13</v>
      </c>
      <c r="P33" s="10">
        <v>44382</v>
      </c>
      <c r="Q33" s="8" t="s">
        <v>97</v>
      </c>
      <c r="R33" s="8" t="s">
        <v>98</v>
      </c>
    </row>
    <row r="34" spans="1:18" ht="20.399999999999999" customHeight="1" x14ac:dyDescent="0.3">
      <c r="A34" s="8" t="s">
        <v>73</v>
      </c>
      <c r="B34" s="8" t="s">
        <v>74</v>
      </c>
      <c r="C34" s="14">
        <v>0</v>
      </c>
      <c r="D34" s="47">
        <v>1</v>
      </c>
      <c r="E34" s="9">
        <v>7466</v>
      </c>
      <c r="F34" s="9">
        <v>13</v>
      </c>
      <c r="G34" s="18">
        <v>567021</v>
      </c>
      <c r="H34" s="9">
        <v>0</v>
      </c>
      <c r="I34" s="9">
        <v>0</v>
      </c>
      <c r="J34" s="9">
        <v>567021</v>
      </c>
      <c r="K34" s="8" t="s">
        <v>94</v>
      </c>
      <c r="L34" s="8" t="s">
        <v>17</v>
      </c>
      <c r="M34" s="8" t="s">
        <v>95</v>
      </c>
      <c r="N34" s="8" t="s">
        <v>96</v>
      </c>
      <c r="O34" s="8" t="s">
        <v>13</v>
      </c>
      <c r="P34" s="10">
        <v>44382</v>
      </c>
      <c r="Q34" s="8" t="s">
        <v>97</v>
      </c>
      <c r="R34" s="8" t="s">
        <v>98</v>
      </c>
    </row>
    <row r="35" spans="1:18" ht="20.399999999999999" customHeight="1" x14ac:dyDescent="0.3">
      <c r="A35" s="8" t="s">
        <v>75</v>
      </c>
      <c r="B35" s="8" t="s">
        <v>74</v>
      </c>
      <c r="C35" s="14">
        <v>0</v>
      </c>
      <c r="D35" s="47">
        <v>2</v>
      </c>
      <c r="E35" s="9">
        <v>7466</v>
      </c>
      <c r="F35" s="9">
        <v>14</v>
      </c>
      <c r="G35" s="18">
        <v>441968</v>
      </c>
      <c r="H35" s="9">
        <v>0</v>
      </c>
      <c r="I35" s="9">
        <v>0</v>
      </c>
      <c r="J35" s="9">
        <v>883936</v>
      </c>
      <c r="K35" s="8" t="s">
        <v>94</v>
      </c>
      <c r="L35" s="8" t="s">
        <v>17</v>
      </c>
      <c r="M35" s="8" t="s">
        <v>95</v>
      </c>
      <c r="N35" s="8" t="s">
        <v>96</v>
      </c>
      <c r="O35" s="8" t="s">
        <v>13</v>
      </c>
      <c r="P35" s="10">
        <v>44382</v>
      </c>
      <c r="Q35" s="8" t="s">
        <v>97</v>
      </c>
      <c r="R35" s="8" t="s">
        <v>98</v>
      </c>
    </row>
    <row r="36" spans="1:18" ht="20.399999999999999" customHeight="1" x14ac:dyDescent="0.3">
      <c r="A36" s="8" t="s">
        <v>76</v>
      </c>
      <c r="B36" s="8" t="s">
        <v>77</v>
      </c>
      <c r="C36" s="14">
        <v>0</v>
      </c>
      <c r="D36" s="47">
        <v>2</v>
      </c>
      <c r="E36" s="9">
        <v>7466</v>
      </c>
      <c r="F36" s="9">
        <v>15</v>
      </c>
      <c r="G36" s="18">
        <v>171387</v>
      </c>
      <c r="H36" s="9">
        <v>0</v>
      </c>
      <c r="I36" s="9">
        <v>0</v>
      </c>
      <c r="J36" s="9">
        <v>342774</v>
      </c>
      <c r="K36" s="8" t="s">
        <v>94</v>
      </c>
      <c r="L36" s="8" t="s">
        <v>17</v>
      </c>
      <c r="M36" s="8" t="s">
        <v>95</v>
      </c>
      <c r="N36" s="8" t="s">
        <v>96</v>
      </c>
      <c r="O36" s="8" t="s">
        <v>13</v>
      </c>
      <c r="P36" s="10">
        <v>44382</v>
      </c>
      <c r="Q36" s="8" t="s">
        <v>97</v>
      </c>
      <c r="R36" s="8" t="s">
        <v>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NOTA VENTA 1817</vt:lpstr>
      <vt:lpstr>GUIAS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mriveros</dc:creator>
  <cp:lastModifiedBy>Miguel Riveros</cp:lastModifiedBy>
  <dcterms:created xsi:type="dcterms:W3CDTF">2021-10-21T13:39:04Z</dcterms:created>
  <dcterms:modified xsi:type="dcterms:W3CDTF">2021-10-22T15:30:49Z</dcterms:modified>
</cp:coreProperties>
</file>