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Ventas Ohffice 2\Desktop\OHFFICE\PROYECTOS\DERCO\2024\DERCOS PAULO CASTILLO\"/>
    </mc:Choice>
  </mc:AlternateContent>
  <xr:revisionPtr revIDLastSave="0" documentId="13_ncr:1_{D9153268-B4E8-4EB8-82A1-20297635279F}" xr6:coauthVersionLast="47" xr6:coauthVersionMax="47" xr10:uidLastSave="{00000000-0000-0000-0000-000000000000}"/>
  <bookViews>
    <workbookView xWindow="-120" yWindow="-120" windowWidth="20730" windowHeight="11160" xr2:uid="{C8E71719-6E8B-43EC-9E6D-7EB31202EC04}"/>
  </bookViews>
  <sheets>
    <sheet name="1 - COT. RESUMEN" sheetId="1" r:id="rId1"/>
  </sheets>
  <definedNames>
    <definedName name="_MailAutoSig" localSheetId="0">'1 - COT. RESUMEN'!$B$49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0" i="1" l="1"/>
  <c r="I21" i="1"/>
  <c r="I22" i="1"/>
  <c r="I23" i="1"/>
  <c r="I24" i="1"/>
  <c r="I29" i="1"/>
  <c r="J29" i="1" s="1"/>
  <c r="I17" i="1"/>
  <c r="I16" i="1"/>
  <c r="I37" i="1" l="1"/>
  <c r="J37" i="1" s="1"/>
  <c r="I35" i="1"/>
  <c r="J35" i="1" s="1"/>
  <c r="I36" i="1"/>
  <c r="J36" i="1" s="1"/>
  <c r="I34" i="1"/>
  <c r="J34" i="1" s="1"/>
  <c r="I33" i="1"/>
  <c r="J33" i="1" s="1"/>
  <c r="I31" i="1"/>
  <c r="I32" i="1"/>
  <c r="I30" i="1"/>
  <c r="I27" i="1"/>
  <c r="I28" i="1"/>
  <c r="I19" i="1"/>
  <c r="I20" i="1"/>
  <c r="J20" i="1" s="1"/>
  <c r="I25" i="1"/>
  <c r="I26" i="1"/>
  <c r="I18" i="1"/>
  <c r="J16" i="1" s="1"/>
  <c r="J30" i="1" l="1"/>
  <c r="J25" i="1"/>
  <c r="I38" i="1"/>
  <c r="I41" i="1" s="1"/>
  <c r="J38" i="1" l="1"/>
  <c r="I44" i="1" l="1"/>
  <c r="I45" i="1" s="1"/>
  <c r="I46" i="1" s="1"/>
</calcChain>
</file>

<file path=xl/sharedStrings.xml><?xml version="1.0" encoding="utf-8"?>
<sst xmlns="http://schemas.openxmlformats.org/spreadsheetml/2006/main" count="105" uniqueCount="97">
  <si>
    <t>CODIGO</t>
  </si>
  <si>
    <t>CANTIDAD</t>
  </si>
  <si>
    <t>TOTAL</t>
  </si>
  <si>
    <t xml:space="preserve">SUBTOTAL       </t>
  </si>
  <si>
    <t>NETO</t>
  </si>
  <si>
    <t>TOTAL FINAL</t>
  </si>
  <si>
    <t>PROYECTO</t>
  </si>
  <si>
    <t>CLIENTE</t>
  </si>
  <si>
    <t>DIRECCIÓN</t>
  </si>
  <si>
    <t>ENCARGADO SR/SRA:</t>
  </si>
  <si>
    <t>FECHA</t>
  </si>
  <si>
    <t>REQUERIMIENTO MOBILIARIO</t>
  </si>
  <si>
    <t>COMUNA</t>
  </si>
  <si>
    <t>CIUDAD</t>
  </si>
  <si>
    <t>TELEFONO</t>
  </si>
  <si>
    <t>EJECUTUVO</t>
  </si>
  <si>
    <t>FECHA EMISION</t>
  </si>
  <si>
    <t>Nº</t>
  </si>
  <si>
    <t>TIPO</t>
  </si>
  <si>
    <t>DESCRIPCION</t>
  </si>
  <si>
    <t>PRECIO UNITARIO</t>
  </si>
  <si>
    <t>TOTAL TIPO</t>
  </si>
  <si>
    <t>IVA 19%</t>
  </si>
  <si>
    <t>R.U.T.</t>
  </si>
  <si>
    <t>Condiciones Comerciales</t>
  </si>
  <si>
    <t>Aceptación de un proyecto</t>
  </si>
  <si>
    <t>Se entenderá por aceptado el proyecto una vez que el cliente haya emitido una orden de compra (OC) por la cotización a Ohffice SpA, se firmen: los planos definitivos del proyecto, colores de terminaciones, tapices, para la fabricación de los productos y se haya cancelado el anticipo pactado en la cotización. Los productos de importación serán facturados al dólar observado del día de facturación.
Solo una vez que se cuente con el anticipo, el proyecto pasa a etapa de fabricación.</t>
  </si>
  <si>
    <t>Rectificación</t>
  </si>
  <si>
    <t>Una vez recibida la OC del cliente, dentro de 2 días, nuestro personal calificado rectificará medidas en obra.  Esto puede producir variaciones en productos, cantidades, valores y plazos de entregas que serán informados al cliente para su aprobación final.  Si el cliente define no rectificar las medidas en terreno y trabajar solo en base a planimetría, cualquier variación de obra que provoquen modificaciones al mobiliario serán de responsabilidad y cargo exclusivo del cliente.</t>
  </si>
  <si>
    <t>Modificaciones</t>
  </si>
  <si>
    <t>Solo se aceptarán modificaciones posteriores a un proyecto aprobado, no instalado, si se acepta por escrito un nuevo presupuesto con las variaciones de productos solicitados y estos costos son asumidos por el cliente. 
Estas modificaciones aprobadas, deben considerar un plazo de entrega de 25 días hábiles, una vez aceptado el presupuesto.</t>
  </si>
  <si>
    <t>Despacho e Instalación</t>
  </si>
  <si>
    <t xml:space="preserve">El despacho e instalación de cada proyectos debe ser considerado y evaluado de forma particular de acuerdo a la ubicación, tipo de mercancía, ubicación, entre otros. 
No se despacharán ni instalarán productos mientras la obra no esté terminada. En caso de que el cliente lo exija, éste asume total responsabilidad por deterioro o daño de los productos. 
La instalación será realizada por personal de Ohffice, conforme con los planos firmados por el cliente en la aceptación del proyecto. Si el cliente quiere realizar la instalación por su propia cuenta, se exime de responsabilidad a Ohffice todo daño o deterioro en los productos.
Toda modificación en la distribución debe ser realizada por escrito solo por el responsable del proyecto. 
En caso de que el cliente no pueda recibir en la fecha comprometida, Ohffice realizará un cargo por bodegaje de 0,3UF por día adicional a la fecha. 
</t>
  </si>
  <si>
    <t>Recepción Final</t>
  </si>
  <si>
    <t xml:space="preserve">El ejecutivo de Ohffice realizará una revisión final con el responsable del proyecto, que se entenderá como recepción final por parte del cliente, liberando el pago final del 10%. </t>
  </si>
  <si>
    <t>Devoluciones</t>
  </si>
  <si>
    <t xml:space="preserve">Ohffice SPA, solo aceptará devoluciones si la devolución del producto se realiza antes de 3 días hábiles después de recibido por el cliente y el producto se encuentre en óptimas condiciones y no haya sido utilizado. No se aceptarán devoluciones de productos especiales fabricados o importados a pedido. </t>
  </si>
  <si>
    <t>PAOLA YANQUEZ</t>
  </si>
  <si>
    <r>
      <t>[1]</t>
    </r>
    <r>
      <rPr>
        <sz val="9"/>
        <rFont val="Calibri"/>
        <family val="2"/>
      </rPr>
      <t xml:space="preserve"> Por espacio no habilitado para rectificar se entiende como aquellos lugares que cuenten con construcciones u modificaciones en su interior. </t>
    </r>
  </si>
  <si>
    <r>
      <t xml:space="preserve">[1] </t>
    </r>
    <r>
      <rPr>
        <sz val="9"/>
        <rFont val="Calibri"/>
        <family val="2"/>
      </rPr>
      <t>Las siguientes provincias pertenecientes a la Región Metropolitana sí cuentan con costo de transporte: Provincia de Maipo, Provincia de Melipilla y Provincia Cordillera.</t>
    </r>
  </si>
  <si>
    <t>COTIZACIÓN Nº</t>
  </si>
  <si>
    <t>DERCO ANTOFAGASTA</t>
  </si>
  <si>
    <t>DERCO</t>
  </si>
  <si>
    <t>SILLAS - ESCRITORIOS - SOFTSEATING</t>
  </si>
  <si>
    <t>JOSE MELO SIMON</t>
  </si>
  <si>
    <t>ANTOFAGASTA</t>
  </si>
  <si>
    <t>M2</t>
  </si>
  <si>
    <t>M7</t>
  </si>
  <si>
    <t>M8</t>
  </si>
  <si>
    <t>MC5</t>
  </si>
  <si>
    <t>S1</t>
  </si>
  <si>
    <t>MC1</t>
  </si>
  <si>
    <t>S4</t>
  </si>
  <si>
    <t>S5</t>
  </si>
  <si>
    <t>S6</t>
  </si>
  <si>
    <t>S7</t>
  </si>
  <si>
    <t>CUR25.15060.A</t>
  </si>
  <si>
    <t>CUBIERTA RECTA (25MM)DE 150 X 60 LAMINADO A</t>
  </si>
  <si>
    <t>TAPA.PASA.CABLE</t>
  </si>
  <si>
    <t>TAPA PASACABLES REDONDA 60 ML</t>
  </si>
  <si>
    <t>INT_VERTEBRAMOVIL</t>
  </si>
  <si>
    <t>VERTEBRA MOVIL</t>
  </si>
  <si>
    <t>INT_TAPADOBLE</t>
  </si>
  <si>
    <t xml:space="preserve">TAPA REGISTRO ELECT. DOBLE </t>
  </si>
  <si>
    <t>INT_CHASISDOBLE</t>
  </si>
  <si>
    <t>CHASIS DOBLE PORTA MODULO ELECT.MULTILINEA C/TUERCA REM</t>
  </si>
  <si>
    <t>INT_OCUVIDOBLE</t>
  </si>
  <si>
    <t>CULTA VISION CHASIS DOBLE MULTILINEA</t>
  </si>
  <si>
    <t>INT_PILAR400H725</t>
  </si>
  <si>
    <t>PILAR BASE 400 TB 5¨C/FLANGE 330x330 H=725</t>
  </si>
  <si>
    <t>CUR25.13060.A</t>
  </si>
  <si>
    <t>CUBIERTA RECTA (25MM)DE 130 X 60 LAMINADO A</t>
  </si>
  <si>
    <t>MO0900126.24</t>
  </si>
  <si>
    <t>MESA TRINITI H61 DIAM 40CM_ESTR.NEGRA_CUBIERTA ELMO SUIZO</t>
  </si>
  <si>
    <t>CUR25.120120.A</t>
  </si>
  <si>
    <t>CUBIERTA RECTA (25MM)DE 120 X 120 LAMINADO A</t>
  </si>
  <si>
    <t>INT312</t>
  </si>
  <si>
    <t>VERTEBRA RIGIDA H=540 REGULABLE HASTA 725</t>
  </si>
  <si>
    <t>PF3670601.020</t>
  </si>
  <si>
    <t>SILOIN FIJO 36706 BASE 4 PATAS MADERA BARNIZADA EN BEIGE VNL</t>
  </si>
  <si>
    <t>PG1700135.046</t>
  </si>
  <si>
    <t>SILLA MOOV LIGHT1_SINCRO_EST.NEGRA_ASIENTO Y RESP NEGRO</t>
  </si>
  <si>
    <t>CF3400601.906</t>
  </si>
  <si>
    <t>SILLA FIJA GO (34006A)_ BASE TRINEO_ EST. CROM_S/BRAZO_AMARI</t>
  </si>
  <si>
    <t>SB0900131.130</t>
  </si>
  <si>
    <t>POUF SPIN REDONDO CON RUEDAS H42 Y D45 CM_(VNL) ROJO</t>
  </si>
  <si>
    <t>INT1943</t>
  </si>
  <si>
    <t>EST LIGHT 150X60 PF5050 S/E</t>
  </si>
  <si>
    <t>INT1942</t>
  </si>
  <si>
    <t>EST LIGHT 250X60 PF5050 S/E</t>
  </si>
  <si>
    <t>INT1941</t>
  </si>
  <si>
    <t>EST LIGHT 250X120 PF5050 C/E MDLDBL Y CNLSMPL</t>
  </si>
  <si>
    <t> OH11498.B</t>
  </si>
  <si>
    <t>CUBIERTA TIPO C CON SOPORTE A MURO DE 120 X 70 LAM B</t>
  </si>
  <si>
    <t xml:space="preserve">FLETE </t>
  </si>
  <si>
    <t>INSTALACION</t>
  </si>
  <si>
    <t>DESCUENTO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</si>
</sst>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16" x14ac:knownFonts="1">
    <font>
      <sz val="11"/>
      <color theme="1"/>
      <name val="Calibri"/>
      <family val="2"/>
      <scheme val="minor"/>
    </font>
    <font>
      <sz val="11"/>
      <color theme="1"/>
      <name val="Calibri"/>
      <family val="2"/>
      <scheme val="minor"/>
    </font>
    <font>
      <sz val="11"/>
      <color theme="1"/>
      <name val="Montserrat"/>
    </font>
    <font>
      <b/>
      <sz val="14"/>
      <name val="Montserrat"/>
    </font>
    <font>
      <sz val="10"/>
      <color theme="1"/>
      <name val="Montserrat"/>
    </font>
    <font>
      <b/>
      <sz val="10"/>
      <name val="Montserrat"/>
    </font>
    <font>
      <sz val="10"/>
      <name val="Arial"/>
      <family val="2"/>
    </font>
    <font>
      <sz val="10"/>
      <color theme="1"/>
      <name val="Calibri"/>
      <family val="2"/>
      <scheme val="minor"/>
    </font>
    <font>
      <sz val="10"/>
      <name val="Montserrat"/>
    </font>
    <font>
      <b/>
      <sz val="10"/>
      <color indexed="8"/>
      <name val="Arial"/>
      <family val="2"/>
    </font>
    <font>
      <sz val="12"/>
      <name val="Arial"/>
      <family val="2"/>
    </font>
    <font>
      <b/>
      <u/>
      <sz val="12"/>
      <name val="Arial"/>
      <family val="2"/>
    </font>
    <font>
      <sz val="12"/>
      <color indexed="8"/>
      <name val="Arial"/>
      <family val="2"/>
    </font>
    <font>
      <b/>
      <sz val="12"/>
      <name val="Arial"/>
      <family val="2"/>
    </font>
    <font>
      <vertAlign val="superscript"/>
      <sz val="9"/>
      <name val="Calibri"/>
      <family val="2"/>
    </font>
    <font>
      <sz val="9"/>
      <name val="Calibri"/>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2" fontId="1" fillId="0" borderId="0" applyFont="0" applyFill="0" applyBorder="0" applyAlignment="0" applyProtection="0"/>
  </cellStyleXfs>
  <cellXfs count="93">
    <xf numFmtId="0" fontId="0" fillId="0" borderId="0" xfId="0"/>
    <xf numFmtId="0" fontId="0" fillId="2" borderId="0" xfId="0" applyFill="1"/>
    <xf numFmtId="0" fontId="2" fillId="2" borderId="0" xfId="0" applyFont="1" applyFill="1"/>
    <xf numFmtId="0" fontId="2" fillId="2" borderId="0" xfId="0" applyFont="1" applyFill="1" applyAlignment="1">
      <alignment horizontal="center" vertical="center"/>
    </xf>
    <xf numFmtId="0" fontId="2" fillId="2" borderId="0" xfId="1" applyNumberFormat="1" applyFont="1" applyFill="1" applyAlignment="1">
      <alignment horizontal="center" vertical="center"/>
    </xf>
    <xf numFmtId="42" fontId="2" fillId="2" borderId="0" xfId="1" applyFont="1" applyFill="1"/>
    <xf numFmtId="1" fontId="2" fillId="2" borderId="0" xfId="0" applyNumberFormat="1" applyFont="1" applyFill="1"/>
    <xf numFmtId="0" fontId="2" fillId="2" borderId="8" xfId="0" applyFont="1" applyFill="1" applyBorder="1"/>
    <xf numFmtId="0" fontId="2" fillId="2" borderId="9" xfId="0" applyFont="1" applyFill="1" applyBorder="1"/>
    <xf numFmtId="0" fontId="2" fillId="2" borderId="9" xfId="0" applyFont="1" applyFill="1" applyBorder="1" applyAlignment="1">
      <alignment horizontal="center" vertical="center"/>
    </xf>
    <xf numFmtId="0" fontId="2" fillId="2" borderId="9" xfId="1" applyNumberFormat="1" applyFont="1" applyFill="1" applyBorder="1" applyAlignment="1">
      <alignment horizontal="center" vertical="center"/>
    </xf>
    <xf numFmtId="42" fontId="2" fillId="2" borderId="9" xfId="1" applyFont="1" applyFill="1" applyBorder="1"/>
    <xf numFmtId="0" fontId="2" fillId="2" borderId="10" xfId="0" applyFont="1" applyFill="1" applyBorder="1"/>
    <xf numFmtId="0" fontId="2" fillId="2" borderId="11" xfId="0" applyFont="1" applyFill="1" applyBorder="1"/>
    <xf numFmtId="0" fontId="2" fillId="2" borderId="0" xfId="1" applyNumberFormat="1" applyFont="1" applyFill="1" applyBorder="1" applyAlignment="1">
      <alignment horizontal="center" vertical="center"/>
    </xf>
    <xf numFmtId="42" fontId="2" fillId="2" borderId="0" xfId="1" applyFont="1" applyFill="1" applyBorder="1"/>
    <xf numFmtId="0" fontId="2" fillId="2" borderId="12" xfId="0" applyFont="1" applyFill="1" applyBorder="1"/>
    <xf numFmtId="0" fontId="2" fillId="2" borderId="13" xfId="0" applyFont="1" applyFill="1" applyBorder="1"/>
    <xf numFmtId="0" fontId="2" fillId="2" borderId="14" xfId="0" applyFont="1" applyFill="1" applyBorder="1"/>
    <xf numFmtId="0" fontId="2" fillId="2" borderId="14" xfId="0" applyFont="1" applyFill="1" applyBorder="1" applyAlignment="1">
      <alignment horizontal="center" vertical="center"/>
    </xf>
    <xf numFmtId="0" fontId="2" fillId="2" borderId="14" xfId="1" applyNumberFormat="1" applyFont="1" applyFill="1" applyBorder="1" applyAlignment="1">
      <alignment horizontal="center" vertical="center"/>
    </xf>
    <xf numFmtId="42" fontId="2" fillId="2" borderId="14" xfId="1" applyFont="1" applyFill="1" applyBorder="1"/>
    <xf numFmtId="0" fontId="2" fillId="2" borderId="15" xfId="0" applyFont="1" applyFill="1" applyBorder="1"/>
    <xf numFmtId="0" fontId="3" fillId="2" borderId="0" xfId="0" applyFont="1" applyFill="1" applyAlignment="1">
      <alignment horizontal="center"/>
    </xf>
    <xf numFmtId="0" fontId="0" fillId="2" borderId="12" xfId="0" applyFill="1" applyBorder="1"/>
    <xf numFmtId="0" fontId="0" fillId="0" borderId="12" xfId="0" applyBorder="1"/>
    <xf numFmtId="1" fontId="8" fillId="2" borderId="1" xfId="0" applyNumberFormat="1" applyFont="1" applyFill="1" applyBorder="1" applyAlignment="1">
      <alignment horizontal="left"/>
    </xf>
    <xf numFmtId="1" fontId="8" fillId="2" borderId="1" xfId="0" applyNumberFormat="1" applyFont="1" applyFill="1" applyBorder="1" applyAlignment="1">
      <alignment horizontal="center" vertical="center"/>
    </xf>
    <xf numFmtId="42" fontId="8" fillId="2" borderId="1" xfId="1" applyFont="1" applyFill="1" applyBorder="1" applyAlignment="1">
      <alignment horizontal="right"/>
    </xf>
    <xf numFmtId="42" fontId="8" fillId="2" borderId="1" xfId="1" applyFont="1" applyFill="1" applyBorder="1" applyAlignment="1">
      <alignment horizontal="left"/>
    </xf>
    <xf numFmtId="1" fontId="8" fillId="2" borderId="3" xfId="0" applyNumberFormat="1" applyFont="1" applyFill="1" applyBorder="1" applyAlignment="1">
      <alignment horizontal="center" vertical="center"/>
    </xf>
    <xf numFmtId="42" fontId="8" fillId="2" borderId="3" xfId="1" applyFont="1" applyFill="1" applyBorder="1" applyAlignment="1">
      <alignment horizontal="center" vertical="center"/>
    </xf>
    <xf numFmtId="42" fontId="4" fillId="2" borderId="3" xfId="1" applyFont="1" applyFill="1" applyBorder="1"/>
    <xf numFmtId="1" fontId="8" fillId="2" borderId="1" xfId="0" applyNumberFormat="1" applyFont="1" applyFill="1" applyBorder="1" applyAlignment="1">
      <alignment horizontal="left" vertical="center"/>
    </xf>
    <xf numFmtId="42" fontId="8" fillId="2" borderId="1" xfId="1" applyFont="1" applyFill="1" applyBorder="1" applyAlignment="1">
      <alignment horizontal="center" vertical="center"/>
    </xf>
    <xf numFmtId="42" fontId="4" fillId="2" borderId="1" xfId="1" applyFont="1" applyFill="1" applyBorder="1"/>
    <xf numFmtId="0" fontId="4" fillId="2" borderId="0" xfId="0" applyFont="1" applyFill="1"/>
    <xf numFmtId="0" fontId="4" fillId="2" borderId="0" xfId="0" applyFont="1" applyFill="1" applyAlignment="1">
      <alignment horizontal="center" vertical="center"/>
    </xf>
    <xf numFmtId="0" fontId="4" fillId="2" borderId="0" xfId="1" applyNumberFormat="1" applyFont="1" applyFill="1" applyBorder="1" applyAlignment="1">
      <alignment horizontal="center" vertical="center"/>
    </xf>
    <xf numFmtId="42" fontId="4" fillId="2" borderId="1" xfId="1" applyFont="1" applyFill="1" applyBorder="1" applyAlignment="1">
      <alignment horizontal="right"/>
    </xf>
    <xf numFmtId="42" fontId="4" fillId="2" borderId="1" xfId="0" applyNumberFormat="1" applyFont="1" applyFill="1" applyBorder="1" applyAlignment="1">
      <alignment horizontal="right"/>
    </xf>
    <xf numFmtId="42" fontId="4" fillId="2" borderId="0" xfId="1" applyFont="1" applyFill="1" applyBorder="1"/>
    <xf numFmtId="42" fontId="4" fillId="2" borderId="6" xfId="1" applyFont="1" applyFill="1" applyBorder="1"/>
    <xf numFmtId="42" fontId="4" fillId="2" borderId="2" xfId="1" applyFont="1" applyFill="1" applyBorder="1"/>
    <xf numFmtId="42" fontId="4" fillId="2" borderId="4" xfId="1" applyFont="1" applyFill="1" applyBorder="1"/>
    <xf numFmtId="42" fontId="4" fillId="2" borderId="7" xfId="1" applyFont="1" applyFill="1" applyBorder="1"/>
    <xf numFmtId="42" fontId="4" fillId="2" borderId="5" xfId="1" applyFont="1" applyFill="1" applyBorder="1"/>
    <xf numFmtId="0" fontId="6" fillId="3" borderId="0" xfId="0" applyFont="1" applyFill="1"/>
    <xf numFmtId="14" fontId="6" fillId="3" borderId="0" xfId="0" applyNumberFormat="1" applyFont="1" applyFill="1"/>
    <xf numFmtId="14" fontId="6" fillId="3" borderId="0" xfId="0" applyNumberFormat="1" applyFont="1" applyFill="1" applyAlignment="1">
      <alignment horizontal="left"/>
    </xf>
    <xf numFmtId="0" fontId="9" fillId="3" borderId="0" xfId="0" applyFont="1" applyFill="1" applyAlignment="1">
      <alignment horizontal="left" vertical="center"/>
    </xf>
    <xf numFmtId="0" fontId="9" fillId="3" borderId="0" xfId="0" applyFont="1" applyFill="1" applyAlignment="1">
      <alignment vertical="center"/>
    </xf>
    <xf numFmtId="0" fontId="10" fillId="3" borderId="0" xfId="0" applyFont="1" applyFill="1"/>
    <xf numFmtId="0" fontId="10" fillId="3" borderId="0" xfId="0" applyFont="1" applyFill="1" applyAlignment="1">
      <alignment horizontal="center"/>
    </xf>
    <xf numFmtId="0" fontId="11" fillId="3" borderId="0" xfId="0" applyFont="1" applyFill="1" applyAlignment="1">
      <alignment horizontal="left" vertical="center"/>
    </xf>
    <xf numFmtId="0" fontId="10" fillId="3" borderId="0" xfId="0" applyFont="1" applyFill="1" applyAlignment="1">
      <alignment vertical="center" wrapText="1"/>
    </xf>
    <xf numFmtId="0" fontId="2" fillId="2" borderId="0" xfId="0" applyFont="1" applyFill="1" applyAlignment="1">
      <alignment horizontal="center"/>
    </xf>
    <xf numFmtId="0" fontId="2" fillId="2" borderId="9" xfId="0" applyFont="1" applyFill="1" applyBorder="1" applyAlignment="1">
      <alignment horizontal="center"/>
    </xf>
    <xf numFmtId="0" fontId="9" fillId="3" borderId="0" xfId="0" applyFont="1" applyFill="1" applyAlignment="1">
      <alignment horizontal="center" vertical="center"/>
    </xf>
    <xf numFmtId="0" fontId="4" fillId="2" borderId="0" xfId="0" applyFont="1" applyFill="1" applyAlignment="1">
      <alignment horizontal="center"/>
    </xf>
    <xf numFmtId="0" fontId="2" fillId="2" borderId="14" xfId="0" applyFont="1" applyFill="1" applyBorder="1" applyAlignment="1">
      <alignment horizontal="center"/>
    </xf>
    <xf numFmtId="0" fontId="14" fillId="0" borderId="0" xfId="0" applyFont="1" applyAlignment="1">
      <alignment vertical="center"/>
    </xf>
    <xf numFmtId="0" fontId="14" fillId="0" borderId="0" xfId="0" applyFont="1"/>
    <xf numFmtId="1" fontId="8" fillId="0" borderId="1" xfId="0" applyNumberFormat="1" applyFont="1" applyBorder="1" applyAlignment="1">
      <alignment horizontal="center" vertical="center"/>
    </xf>
    <xf numFmtId="42" fontId="8" fillId="0" borderId="1" xfId="1" applyFont="1" applyFill="1" applyBorder="1" applyAlignment="1">
      <alignment horizontal="center" vertical="center"/>
    </xf>
    <xf numFmtId="0" fontId="4" fillId="4" borderId="2" xfId="0" applyFont="1" applyFill="1" applyBorder="1" applyAlignment="1">
      <alignment horizontal="center"/>
    </xf>
    <xf numFmtId="0" fontId="4" fillId="4" borderId="2" xfId="0" applyFont="1" applyFill="1" applyBorder="1"/>
    <xf numFmtId="42" fontId="8" fillId="2" borderId="1" xfId="1" applyFont="1" applyFill="1" applyBorder="1" applyAlignment="1">
      <alignment vertical="center"/>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7" fillId="0" borderId="1" xfId="0" applyFont="1" applyBorder="1" applyAlignment="1">
      <alignment horizontal="center" vertical="center"/>
    </xf>
    <xf numFmtId="1" fontId="8" fillId="0" borderId="1" xfId="0" applyNumberFormat="1" applyFont="1" applyBorder="1" applyAlignment="1">
      <alignment horizontal="left"/>
    </xf>
    <xf numFmtId="42" fontId="4" fillId="0" borderId="1" xfId="1" applyFont="1" applyFill="1" applyBorder="1"/>
    <xf numFmtId="42" fontId="4" fillId="2" borderId="0" xfId="1" applyFont="1" applyFill="1" applyBorder="1" applyAlignment="1">
      <alignment horizontal="center" vertical="center"/>
    </xf>
    <xf numFmtId="14" fontId="5" fillId="2" borderId="0" xfId="0" applyNumberFormat="1" applyFont="1" applyFill="1" applyAlignment="1">
      <alignment horizontal="center" vertical="center"/>
    </xf>
    <xf numFmtId="0" fontId="6" fillId="3" borderId="0" xfId="0" applyFont="1" applyFill="1" applyAlignment="1">
      <alignment horizontal="left"/>
    </xf>
    <xf numFmtId="0" fontId="3" fillId="4" borderId="1" xfId="0" applyFont="1" applyFill="1" applyBorder="1" applyAlignment="1">
      <alignment horizontal="center"/>
    </xf>
    <xf numFmtId="42" fontId="8" fillId="2" borderId="2" xfId="1" applyFont="1" applyFill="1" applyBorder="1" applyAlignment="1">
      <alignment horizontal="center" vertical="center"/>
    </xf>
    <xf numFmtId="42" fontId="8" fillId="2" borderId="7" xfId="1" applyFont="1" applyFill="1" applyBorder="1" applyAlignment="1">
      <alignment horizontal="center" vertical="center"/>
    </xf>
    <xf numFmtId="42" fontId="8" fillId="2" borderId="3" xfId="1" applyFont="1" applyFill="1" applyBorder="1" applyAlignment="1">
      <alignment horizontal="center" vertical="center"/>
    </xf>
    <xf numFmtId="0" fontId="12" fillId="3" borderId="0" xfId="0" applyFont="1" applyFill="1" applyAlignment="1">
      <alignment vertical="center" wrapText="1"/>
    </xf>
    <xf numFmtId="0" fontId="13" fillId="3" borderId="0" xfId="0" applyFont="1" applyFill="1" applyAlignment="1">
      <alignment horizontal="left" vertical="center"/>
    </xf>
    <xf numFmtId="1" fontId="8" fillId="2" borderId="2" xfId="0" applyNumberFormat="1" applyFont="1" applyFill="1" applyBorder="1" applyAlignment="1">
      <alignment horizontal="center" vertical="center"/>
    </xf>
    <xf numFmtId="1" fontId="8" fillId="2" borderId="7" xfId="0" applyNumberFormat="1" applyFont="1" applyFill="1" applyBorder="1" applyAlignment="1">
      <alignment horizontal="center" vertical="center"/>
    </xf>
    <xf numFmtId="1" fontId="8" fillId="2" borderId="3" xfId="0"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7" fillId="0" borderId="3" xfId="0" applyFont="1" applyBorder="1" applyAlignment="1">
      <alignment horizontal="center" vertical="center"/>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 xfId="0" applyFont="1" applyFill="1" applyBorder="1" applyAlignment="1">
      <alignment horizontal="center" vertical="center"/>
    </xf>
    <xf numFmtId="0" fontId="10" fillId="3" borderId="0" xfId="0" applyFont="1" applyFill="1" applyAlignment="1">
      <alignment horizontal="left" vertical="center" wrapText="1"/>
    </xf>
    <xf numFmtId="0" fontId="13" fillId="3" borderId="0" xfId="0" applyFont="1" applyFill="1" applyAlignment="1">
      <alignment horizontal="left" vertical="center" wrapText="1"/>
    </xf>
  </cellXfs>
  <cellStyles count="2">
    <cellStyle name="Moneda [0]" xfId="1" builtinId="7"/>
    <cellStyle name="Normal" xfId="0" builtinId="0"/>
  </cellStyles>
  <dxfs count="0"/>
  <tableStyles count="0" defaultTableStyle="TableStyleMedium2" defaultPivotStyle="PivotStyleLight16"/>
  <colors>
    <mruColors>
      <color rgb="FF89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343958</xdr:colOff>
      <xdr:row>4</xdr:row>
      <xdr:rowOff>89535</xdr:rowOff>
    </xdr:to>
    <xdr:pic>
      <xdr:nvPicPr>
        <xdr:cNvPr id="3" name="Imagen 2" descr="Imagen que contiene Logotipo&#10;&#10;Descripción generada automáticamente">
          <a:extLst>
            <a:ext uri="{FF2B5EF4-FFF2-40B4-BE49-F238E27FC236}">
              <a16:creationId xmlns:a16="http://schemas.microsoft.com/office/drawing/2014/main" id="{84697A28-69E2-D5F0-E7A3-F5F0BBF409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0" y="419100"/>
          <a:ext cx="1724025"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CECA-6D33-4E53-8AF4-356FA2817E9A}">
  <sheetPr>
    <tabColor theme="9" tint="0.79998168889431442"/>
  </sheetPr>
  <dimension ref="A1:AT64"/>
  <sheetViews>
    <sheetView tabSelected="1" topLeftCell="D34" zoomScaleNormal="100" workbookViewId="0">
      <selection activeCell="H11" sqref="H11:I11"/>
    </sheetView>
  </sheetViews>
  <sheetFormatPr baseColWidth="10" defaultColWidth="11.5703125" defaultRowHeight="18" x14ac:dyDescent="0.35"/>
  <cols>
    <col min="1" max="1" width="11.5703125" style="2"/>
    <col min="2" max="2" width="3" style="2" customWidth="1"/>
    <col min="3" max="3" width="6.28515625" style="2" customWidth="1"/>
    <col min="4" max="4" width="14.140625" style="56" bestFit="1" customWidth="1"/>
    <col min="5" max="5" width="22.5703125" style="2" bestFit="1" customWidth="1"/>
    <col min="6" max="6" width="74" style="3" bestFit="1" customWidth="1"/>
    <col min="7" max="7" width="13.7109375" style="4" customWidth="1"/>
    <col min="8" max="8" width="19.5703125" style="5" bestFit="1" customWidth="1"/>
    <col min="9" max="9" width="18.28515625" style="5" bestFit="1" customWidth="1"/>
    <col min="10" max="10" width="13.140625" style="2" bestFit="1" customWidth="1"/>
    <col min="11" max="11" width="3" style="2" customWidth="1"/>
    <col min="12" max="15" width="11.5703125" style="2"/>
    <col min="16" max="16" width="13.28515625" style="2" bestFit="1" customWidth="1"/>
    <col min="17" max="16384" width="11.5703125" style="2"/>
  </cols>
  <sheetData>
    <row r="1" spans="1:46" ht="18.75" thickBot="1" x14ac:dyDescent="0.4"/>
    <row r="2" spans="1:46" x14ac:dyDescent="0.35">
      <c r="B2" s="7"/>
      <c r="C2" s="8"/>
      <c r="D2" s="57"/>
      <c r="E2" s="8"/>
      <c r="F2" s="9"/>
      <c r="G2" s="10"/>
      <c r="H2" s="11"/>
      <c r="I2" s="8"/>
      <c r="J2" s="8"/>
      <c r="K2" s="12"/>
    </row>
    <row r="3" spans="1:46" x14ac:dyDescent="0.35">
      <c r="B3" s="13"/>
      <c r="G3" s="14"/>
      <c r="H3" s="15"/>
      <c r="I3" s="73" t="s">
        <v>16</v>
      </c>
      <c r="J3" s="74">
        <v>45420</v>
      </c>
      <c r="K3" s="16"/>
    </row>
    <row r="4" spans="1:46" x14ac:dyDescent="0.35">
      <c r="B4" s="13"/>
      <c r="G4" s="14"/>
      <c r="H4" s="15"/>
      <c r="I4" s="73"/>
      <c r="J4" s="74"/>
      <c r="K4" s="16"/>
    </row>
    <row r="5" spans="1:46" x14ac:dyDescent="0.35">
      <c r="B5" s="13"/>
      <c r="G5" s="14"/>
      <c r="H5" s="15"/>
      <c r="I5" s="15"/>
      <c r="K5" s="16"/>
    </row>
    <row r="6" spans="1:46" ht="21.75" x14ac:dyDescent="0.4">
      <c r="B6" s="13"/>
      <c r="C6" s="76" t="s">
        <v>40</v>
      </c>
      <c r="D6" s="76"/>
      <c r="E6" s="76"/>
      <c r="F6" s="76"/>
      <c r="G6" s="76"/>
      <c r="H6" s="76"/>
      <c r="I6" s="76"/>
      <c r="J6" s="76"/>
      <c r="K6" s="16"/>
    </row>
    <row r="7" spans="1:46" ht="10.9" customHeight="1" x14ac:dyDescent="0.4">
      <c r="B7" s="13"/>
      <c r="C7" s="23"/>
      <c r="D7" s="23"/>
      <c r="E7" s="23"/>
      <c r="F7" s="23"/>
      <c r="G7" s="23"/>
      <c r="H7" s="23"/>
      <c r="I7" s="23"/>
      <c r="J7" s="23"/>
      <c r="K7" s="16"/>
    </row>
    <row r="8" spans="1:46" x14ac:dyDescent="0.35">
      <c r="B8" s="13"/>
      <c r="C8" s="50" t="s">
        <v>6</v>
      </c>
      <c r="D8" s="58"/>
      <c r="E8" s="47"/>
      <c r="F8" s="47" t="s">
        <v>41</v>
      </c>
      <c r="G8" s="51" t="s">
        <v>23</v>
      </c>
      <c r="H8" s="75"/>
      <c r="I8" s="75"/>
      <c r="K8" s="16"/>
    </row>
    <row r="9" spans="1:46" x14ac:dyDescent="0.35">
      <c r="B9" s="13"/>
      <c r="C9" s="50" t="s">
        <v>7</v>
      </c>
      <c r="D9" s="58"/>
      <c r="E9" s="47"/>
      <c r="F9" s="47" t="s">
        <v>42</v>
      </c>
      <c r="G9" s="51" t="s">
        <v>12</v>
      </c>
      <c r="H9" s="75" t="s">
        <v>45</v>
      </c>
      <c r="I9" s="75"/>
      <c r="K9" s="16"/>
    </row>
    <row r="10" spans="1:46" x14ac:dyDescent="0.35">
      <c r="B10" s="13"/>
      <c r="C10" s="50" t="s">
        <v>8</v>
      </c>
      <c r="D10" s="58"/>
      <c r="E10" s="47"/>
      <c r="F10" s="47"/>
      <c r="G10" s="51" t="s">
        <v>13</v>
      </c>
      <c r="H10" s="75" t="s">
        <v>45</v>
      </c>
      <c r="I10" s="75"/>
      <c r="K10" s="16"/>
    </row>
    <row r="11" spans="1:46" x14ac:dyDescent="0.35">
      <c r="B11" s="13"/>
      <c r="C11" s="50" t="s">
        <v>11</v>
      </c>
      <c r="D11" s="58"/>
      <c r="E11" s="47"/>
      <c r="F11" s="47" t="s">
        <v>43</v>
      </c>
      <c r="G11" s="51" t="s">
        <v>14</v>
      </c>
      <c r="H11" s="75">
        <v>961116599</v>
      </c>
      <c r="I11" s="75"/>
      <c r="K11" s="16"/>
    </row>
    <row r="12" spans="1:46" x14ac:dyDescent="0.35">
      <c r="B12" s="13"/>
      <c r="C12" s="50" t="s">
        <v>9</v>
      </c>
      <c r="D12" s="58"/>
      <c r="E12" s="47"/>
      <c r="F12" s="47" t="s">
        <v>44</v>
      </c>
      <c r="G12" s="51" t="s">
        <v>15</v>
      </c>
      <c r="H12" s="75" t="s">
        <v>37</v>
      </c>
      <c r="I12" s="75"/>
      <c r="K12" s="16"/>
    </row>
    <row r="13" spans="1:46" x14ac:dyDescent="0.35">
      <c r="B13" s="13"/>
      <c r="C13" s="50" t="s">
        <v>10</v>
      </c>
      <c r="D13" s="58"/>
      <c r="E13" s="48"/>
      <c r="F13" s="49">
        <v>45455</v>
      </c>
      <c r="G13" s="38"/>
      <c r="H13" s="41"/>
      <c r="I13" s="41"/>
      <c r="K13" s="16"/>
    </row>
    <row r="14" spans="1:46" ht="11.1" customHeight="1" x14ac:dyDescent="0.35">
      <c r="B14" s="13"/>
      <c r="G14" s="14"/>
      <c r="H14" s="15"/>
      <c r="I14" s="15"/>
      <c r="K14" s="16"/>
    </row>
    <row r="15" spans="1:46" x14ac:dyDescent="0.35">
      <c r="B15" s="13"/>
      <c r="C15" s="65" t="s">
        <v>17</v>
      </c>
      <c r="D15" s="65" t="s">
        <v>18</v>
      </c>
      <c r="E15" s="66" t="s">
        <v>0</v>
      </c>
      <c r="F15" s="66" t="s">
        <v>19</v>
      </c>
      <c r="G15" s="65" t="s">
        <v>1</v>
      </c>
      <c r="H15" s="65" t="s">
        <v>20</v>
      </c>
      <c r="I15" s="65" t="s">
        <v>2</v>
      </c>
      <c r="J15" s="66" t="s">
        <v>21</v>
      </c>
      <c r="K15" s="16"/>
    </row>
    <row r="16" spans="1:46" customFormat="1" x14ac:dyDescent="0.35">
      <c r="A16" s="2"/>
      <c r="B16" s="13"/>
      <c r="C16" s="85">
        <v>1</v>
      </c>
      <c r="D16" s="82" t="s">
        <v>46</v>
      </c>
      <c r="E16" s="26" t="s">
        <v>56</v>
      </c>
      <c r="F16" s="26" t="s">
        <v>57</v>
      </c>
      <c r="G16" s="27">
        <v>2</v>
      </c>
      <c r="H16" s="28">
        <v>99000</v>
      </c>
      <c r="I16" s="29">
        <f>+H16*G16</f>
        <v>198000</v>
      </c>
      <c r="J16" s="77">
        <f>SUM(I16:I19)</f>
        <v>529466</v>
      </c>
      <c r="K16" s="24"/>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customFormat="1" x14ac:dyDescent="0.35">
      <c r="A17" s="2"/>
      <c r="B17" s="13"/>
      <c r="C17" s="86"/>
      <c r="D17" s="83"/>
      <c r="E17" s="26" t="s">
        <v>86</v>
      </c>
      <c r="F17" s="26" t="s">
        <v>87</v>
      </c>
      <c r="G17" s="27">
        <v>2</v>
      </c>
      <c r="H17" s="28">
        <v>132000</v>
      </c>
      <c r="I17" s="29">
        <f>+H17*G17</f>
        <v>264000</v>
      </c>
      <c r="J17" s="78"/>
      <c r="K17" s="25"/>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x14ac:dyDescent="0.35">
      <c r="B18" s="13"/>
      <c r="C18" s="86"/>
      <c r="D18" s="83"/>
      <c r="E18" s="26" t="s">
        <v>58</v>
      </c>
      <c r="F18" s="26" t="s">
        <v>59</v>
      </c>
      <c r="G18" s="30">
        <v>2</v>
      </c>
      <c r="H18" s="31">
        <v>3333</v>
      </c>
      <c r="I18" s="32">
        <f>+H18*G18</f>
        <v>6666</v>
      </c>
      <c r="J18" s="78"/>
      <c r="K18" s="16"/>
    </row>
    <row r="19" spans="1:46" x14ac:dyDescent="0.35">
      <c r="B19" s="13"/>
      <c r="C19" s="87"/>
      <c r="D19" s="84"/>
      <c r="E19" s="26" t="s">
        <v>60</v>
      </c>
      <c r="F19" s="26" t="s">
        <v>61</v>
      </c>
      <c r="G19" s="27">
        <v>2</v>
      </c>
      <c r="H19" s="34">
        <v>30400</v>
      </c>
      <c r="I19" s="35">
        <f t="shared" ref="I19:I28" si="0">+H19*G19</f>
        <v>60800</v>
      </c>
      <c r="J19" s="79"/>
      <c r="K19" s="16"/>
    </row>
    <row r="20" spans="1:46" x14ac:dyDescent="0.35">
      <c r="B20" s="13"/>
      <c r="C20" s="88">
        <v>2</v>
      </c>
      <c r="D20" s="82" t="s">
        <v>47</v>
      </c>
      <c r="E20" s="26" t="s">
        <v>92</v>
      </c>
      <c r="F20" s="71" t="s">
        <v>93</v>
      </c>
      <c r="G20" s="63">
        <v>5</v>
      </c>
      <c r="H20" s="64">
        <v>152000</v>
      </c>
      <c r="I20" s="72">
        <f t="shared" si="0"/>
        <v>760000</v>
      </c>
      <c r="J20" s="77">
        <f>SUM(I20:I24)</f>
        <v>1367000</v>
      </c>
      <c r="K20" s="16"/>
    </row>
    <row r="21" spans="1:46" x14ac:dyDescent="0.35">
      <c r="B21" s="13"/>
      <c r="C21" s="89"/>
      <c r="D21" s="83"/>
      <c r="E21" s="26" t="s">
        <v>62</v>
      </c>
      <c r="F21" s="26" t="s">
        <v>63</v>
      </c>
      <c r="G21" s="27">
        <v>5</v>
      </c>
      <c r="H21" s="34">
        <v>19400</v>
      </c>
      <c r="I21" s="35">
        <f t="shared" si="0"/>
        <v>97000</v>
      </c>
      <c r="J21" s="78"/>
      <c r="K21" s="16"/>
    </row>
    <row r="22" spans="1:46" x14ac:dyDescent="0.35">
      <c r="B22" s="13"/>
      <c r="C22" s="89"/>
      <c r="D22" s="83"/>
      <c r="E22" s="26" t="s">
        <v>64</v>
      </c>
      <c r="F22" s="26" t="s">
        <v>65</v>
      </c>
      <c r="G22" s="27">
        <v>5</v>
      </c>
      <c r="H22" s="34">
        <v>11400</v>
      </c>
      <c r="I22" s="35">
        <f t="shared" si="0"/>
        <v>57000</v>
      </c>
      <c r="J22" s="78"/>
      <c r="K22" s="16"/>
    </row>
    <row r="23" spans="1:46" x14ac:dyDescent="0.35">
      <c r="B23" s="13"/>
      <c r="C23" s="89"/>
      <c r="D23" s="83"/>
      <c r="E23" s="26" t="s">
        <v>66</v>
      </c>
      <c r="F23" s="26" t="s">
        <v>67</v>
      </c>
      <c r="G23" s="27">
        <v>5</v>
      </c>
      <c r="H23" s="34">
        <v>7600</v>
      </c>
      <c r="I23" s="35">
        <f t="shared" si="0"/>
        <v>38000</v>
      </c>
      <c r="J23" s="78"/>
      <c r="K23" s="16"/>
    </row>
    <row r="24" spans="1:46" x14ac:dyDescent="0.35">
      <c r="B24" s="13"/>
      <c r="C24" s="90"/>
      <c r="D24" s="84"/>
      <c r="E24" s="26" t="s">
        <v>68</v>
      </c>
      <c r="F24" s="26" t="s">
        <v>69</v>
      </c>
      <c r="G24" s="27">
        <v>5</v>
      </c>
      <c r="H24" s="34">
        <v>83000</v>
      </c>
      <c r="I24" s="35">
        <f t="shared" si="0"/>
        <v>415000</v>
      </c>
      <c r="J24" s="79"/>
      <c r="K24" s="16"/>
    </row>
    <row r="25" spans="1:46" x14ac:dyDescent="0.35">
      <c r="B25" s="13"/>
      <c r="C25" s="88">
        <v>3</v>
      </c>
      <c r="D25" s="82" t="s">
        <v>48</v>
      </c>
      <c r="E25" s="26" t="s">
        <v>70</v>
      </c>
      <c r="F25" s="26" t="s">
        <v>71</v>
      </c>
      <c r="G25" s="27">
        <v>6</v>
      </c>
      <c r="H25" s="34">
        <v>90000</v>
      </c>
      <c r="I25" s="35">
        <f t="shared" si="0"/>
        <v>540000</v>
      </c>
      <c r="J25" s="77">
        <f>SUM(I25:I28)</f>
        <v>1275798</v>
      </c>
      <c r="K25" s="16"/>
    </row>
    <row r="26" spans="1:46" x14ac:dyDescent="0.35">
      <c r="B26" s="13"/>
      <c r="C26" s="89"/>
      <c r="D26" s="83"/>
      <c r="E26" s="26" t="s">
        <v>88</v>
      </c>
      <c r="F26" s="26" t="s">
        <v>89</v>
      </c>
      <c r="G26" s="27">
        <v>3</v>
      </c>
      <c r="H26" s="34">
        <v>208200</v>
      </c>
      <c r="I26" s="35">
        <f t="shared" si="0"/>
        <v>624600</v>
      </c>
      <c r="J26" s="78"/>
      <c r="K26" s="16"/>
    </row>
    <row r="27" spans="1:46" x14ac:dyDescent="0.35">
      <c r="B27" s="13"/>
      <c r="C27" s="89"/>
      <c r="D27" s="83"/>
      <c r="E27" s="26" t="s">
        <v>58</v>
      </c>
      <c r="F27" s="26" t="s">
        <v>59</v>
      </c>
      <c r="G27" s="27">
        <v>6</v>
      </c>
      <c r="H27" s="34">
        <v>3333</v>
      </c>
      <c r="I27" s="35">
        <f t="shared" si="0"/>
        <v>19998</v>
      </c>
      <c r="J27" s="78"/>
      <c r="K27" s="16"/>
    </row>
    <row r="28" spans="1:46" x14ac:dyDescent="0.35">
      <c r="B28" s="13"/>
      <c r="C28" s="90"/>
      <c r="D28" s="84"/>
      <c r="E28" s="26" t="s">
        <v>60</v>
      </c>
      <c r="F28" s="26" t="s">
        <v>61</v>
      </c>
      <c r="G28" s="63">
        <v>3</v>
      </c>
      <c r="H28" s="64">
        <v>30400</v>
      </c>
      <c r="I28" s="35">
        <f t="shared" si="0"/>
        <v>91200</v>
      </c>
      <c r="J28" s="79"/>
      <c r="K28" s="16"/>
    </row>
    <row r="29" spans="1:46" x14ac:dyDescent="0.35">
      <c r="B29" s="13"/>
      <c r="C29" s="69">
        <v>4</v>
      </c>
      <c r="D29" s="27" t="s">
        <v>51</v>
      </c>
      <c r="E29" s="26" t="s">
        <v>72</v>
      </c>
      <c r="F29" s="26" t="s">
        <v>73</v>
      </c>
      <c r="G29" s="27">
        <v>1</v>
      </c>
      <c r="H29" s="34">
        <v>80919</v>
      </c>
      <c r="I29" s="35">
        <f>+H29*G29</f>
        <v>80919</v>
      </c>
      <c r="J29" s="67">
        <f>SUM(I29)</f>
        <v>80919</v>
      </c>
      <c r="K29" s="16"/>
    </row>
    <row r="30" spans="1:46" x14ac:dyDescent="0.35">
      <c r="B30" s="13"/>
      <c r="C30" s="88">
        <v>5</v>
      </c>
      <c r="D30" s="82" t="s">
        <v>49</v>
      </c>
      <c r="E30" s="26" t="s">
        <v>74</v>
      </c>
      <c r="F30" s="26" t="s">
        <v>75</v>
      </c>
      <c r="G30" s="27">
        <v>2</v>
      </c>
      <c r="H30" s="34">
        <v>156000</v>
      </c>
      <c r="I30" s="35">
        <f>+H30*G30</f>
        <v>312000</v>
      </c>
      <c r="J30" s="77">
        <f>SUM(I30:I32)</f>
        <v>795400</v>
      </c>
      <c r="K30" s="16"/>
    </row>
    <row r="31" spans="1:46" x14ac:dyDescent="0.35">
      <c r="B31" s="13"/>
      <c r="C31" s="89"/>
      <c r="D31" s="83"/>
      <c r="E31" s="26" t="s">
        <v>90</v>
      </c>
      <c r="F31" s="26" t="s">
        <v>91</v>
      </c>
      <c r="G31" s="27">
        <v>1</v>
      </c>
      <c r="H31" s="34">
        <v>433800</v>
      </c>
      <c r="I31" s="35">
        <f t="shared" ref="I31:I32" si="1">+H31*G31</f>
        <v>433800</v>
      </c>
      <c r="J31" s="78"/>
      <c r="K31" s="16"/>
    </row>
    <row r="32" spans="1:46" x14ac:dyDescent="0.35">
      <c r="B32" s="13"/>
      <c r="C32" s="90"/>
      <c r="D32" s="84"/>
      <c r="E32" s="26" t="s">
        <v>76</v>
      </c>
      <c r="F32" s="26" t="s">
        <v>77</v>
      </c>
      <c r="G32" s="27">
        <v>1</v>
      </c>
      <c r="H32" s="34">
        <v>49600</v>
      </c>
      <c r="I32" s="35">
        <f t="shared" si="1"/>
        <v>49600</v>
      </c>
      <c r="J32" s="79"/>
      <c r="K32" s="16"/>
    </row>
    <row r="33" spans="2:16" x14ac:dyDescent="0.35">
      <c r="B33" s="13"/>
      <c r="C33" s="68">
        <v>6</v>
      </c>
      <c r="D33" s="27" t="s">
        <v>50</v>
      </c>
      <c r="E33" s="26" t="s">
        <v>78</v>
      </c>
      <c r="F33" s="26" t="s">
        <v>79</v>
      </c>
      <c r="G33" s="27">
        <v>2</v>
      </c>
      <c r="H33" s="34">
        <v>241047</v>
      </c>
      <c r="I33" s="35">
        <f>+H33*G33</f>
        <v>482094</v>
      </c>
      <c r="J33" s="67">
        <f>SUM(I33)</f>
        <v>482094</v>
      </c>
      <c r="K33" s="16"/>
    </row>
    <row r="34" spans="2:16" x14ac:dyDescent="0.35">
      <c r="B34" s="13"/>
      <c r="C34" s="69">
        <v>7</v>
      </c>
      <c r="D34" s="27" t="s">
        <v>52</v>
      </c>
      <c r="E34" s="26" t="s">
        <v>80</v>
      </c>
      <c r="F34" s="26" t="s">
        <v>81</v>
      </c>
      <c r="G34" s="27">
        <v>19</v>
      </c>
      <c r="H34" s="34">
        <v>208347</v>
      </c>
      <c r="I34" s="35">
        <f>+H34*G34</f>
        <v>3958593</v>
      </c>
      <c r="J34" s="67">
        <f>SUM(I34)</f>
        <v>3958593</v>
      </c>
      <c r="K34" s="16"/>
    </row>
    <row r="35" spans="2:16" x14ac:dyDescent="0.35">
      <c r="B35" s="13"/>
      <c r="C35" s="69">
        <v>8</v>
      </c>
      <c r="D35" s="27" t="s">
        <v>53</v>
      </c>
      <c r="E35" s="26" t="s">
        <v>82</v>
      </c>
      <c r="F35" s="33" t="s">
        <v>83</v>
      </c>
      <c r="G35" s="27">
        <v>26</v>
      </c>
      <c r="H35" s="34">
        <v>134538</v>
      </c>
      <c r="I35" s="35">
        <f t="shared" ref="I35:I37" si="2">+H35*G35</f>
        <v>3497988</v>
      </c>
      <c r="J35" s="67">
        <f>SUM(I35)</f>
        <v>3497988</v>
      </c>
      <c r="K35" s="16"/>
    </row>
    <row r="36" spans="2:16" x14ac:dyDescent="0.35">
      <c r="B36" s="13"/>
      <c r="C36" s="70">
        <v>9</v>
      </c>
      <c r="D36" s="27" t="s">
        <v>54</v>
      </c>
      <c r="E36" s="26" t="s">
        <v>84</v>
      </c>
      <c r="F36" s="33" t="s">
        <v>85</v>
      </c>
      <c r="G36" s="27">
        <v>10</v>
      </c>
      <c r="H36" s="34">
        <v>136406</v>
      </c>
      <c r="I36" s="35">
        <f t="shared" si="2"/>
        <v>1364060</v>
      </c>
      <c r="J36" s="67">
        <f>SUM(I36)</f>
        <v>1364060</v>
      </c>
      <c r="K36" s="16"/>
      <c r="L36" s="6"/>
    </row>
    <row r="37" spans="2:16" x14ac:dyDescent="0.35">
      <c r="B37" s="13"/>
      <c r="C37" s="70">
        <v>10</v>
      </c>
      <c r="D37" s="27" t="s">
        <v>55</v>
      </c>
      <c r="E37" s="26" t="s">
        <v>84</v>
      </c>
      <c r="F37" s="33" t="s">
        <v>85</v>
      </c>
      <c r="G37" s="27">
        <v>5</v>
      </c>
      <c r="H37" s="34">
        <v>136406</v>
      </c>
      <c r="I37" s="35">
        <f t="shared" si="2"/>
        <v>682030</v>
      </c>
      <c r="J37" s="67">
        <f>SUM(I37)</f>
        <v>682030</v>
      </c>
      <c r="K37" s="16"/>
    </row>
    <row r="38" spans="2:16" x14ac:dyDescent="0.35">
      <c r="B38" s="13"/>
      <c r="C38" s="36"/>
      <c r="D38" s="59"/>
      <c r="E38" s="36"/>
      <c r="F38" s="37"/>
      <c r="G38" s="38"/>
      <c r="H38" s="39" t="s">
        <v>2</v>
      </c>
      <c r="I38" s="39">
        <f>SUM(I16:I37)</f>
        <v>14033348</v>
      </c>
      <c r="J38" s="40">
        <f>SUM(J16:J37)</f>
        <v>14033348</v>
      </c>
      <c r="K38" s="16"/>
    </row>
    <row r="39" spans="2:16" x14ac:dyDescent="0.35">
      <c r="B39" s="13"/>
      <c r="C39" s="36"/>
      <c r="D39" s="59"/>
      <c r="E39" s="36"/>
      <c r="F39" s="37"/>
      <c r="G39" s="38"/>
      <c r="H39" s="41"/>
      <c r="I39" s="41"/>
      <c r="J39" s="36"/>
      <c r="K39" s="16"/>
    </row>
    <row r="40" spans="2:16" x14ac:dyDescent="0.35">
      <c r="B40" s="13"/>
      <c r="C40" s="36"/>
      <c r="D40" s="59"/>
      <c r="E40" s="36"/>
      <c r="F40" s="37"/>
      <c r="G40" s="38"/>
      <c r="H40" s="42" t="s">
        <v>96</v>
      </c>
      <c r="I40" s="43">
        <f>+I38*25%</f>
        <v>3508337</v>
      </c>
      <c r="J40" s="36"/>
      <c r="K40" s="16"/>
    </row>
    <row r="41" spans="2:16" x14ac:dyDescent="0.35">
      <c r="B41" s="13"/>
      <c r="C41" s="36"/>
      <c r="D41" s="59"/>
      <c r="E41" s="36"/>
      <c r="F41" s="37"/>
      <c r="G41" s="38"/>
      <c r="H41" s="44" t="s">
        <v>3</v>
      </c>
      <c r="I41" s="45">
        <f>+I38-I40</f>
        <v>10525011</v>
      </c>
      <c r="J41" s="36"/>
      <c r="K41" s="16"/>
    </row>
    <row r="42" spans="2:16" x14ac:dyDescent="0.35">
      <c r="B42" s="13"/>
      <c r="C42" s="36"/>
      <c r="D42" s="59"/>
      <c r="E42" s="36"/>
      <c r="F42" s="37"/>
      <c r="G42" s="38"/>
      <c r="H42" s="44" t="s">
        <v>94</v>
      </c>
      <c r="I42" s="45">
        <v>1800000</v>
      </c>
      <c r="J42" s="36"/>
      <c r="K42" s="16"/>
    </row>
    <row r="43" spans="2:16" x14ac:dyDescent="0.35">
      <c r="B43" s="13"/>
      <c r="C43" s="36"/>
      <c r="D43" s="59"/>
      <c r="E43" s="36"/>
      <c r="F43" s="37"/>
      <c r="G43" s="38"/>
      <c r="H43" s="46" t="s">
        <v>95</v>
      </c>
      <c r="I43" s="32">
        <v>1027850</v>
      </c>
      <c r="J43" s="36"/>
      <c r="K43" s="16"/>
      <c r="P43" s="5"/>
    </row>
    <row r="44" spans="2:16" x14ac:dyDescent="0.35">
      <c r="B44" s="13"/>
      <c r="C44" s="36"/>
      <c r="D44" s="59"/>
      <c r="E44" s="36"/>
      <c r="F44" s="37"/>
      <c r="G44" s="38"/>
      <c r="H44" s="44" t="s">
        <v>4</v>
      </c>
      <c r="I44" s="45">
        <f>SUM(I41:I43)</f>
        <v>13352861</v>
      </c>
      <c r="J44" s="36"/>
      <c r="K44" s="16"/>
    </row>
    <row r="45" spans="2:16" x14ac:dyDescent="0.35">
      <c r="B45" s="13"/>
      <c r="C45" s="36"/>
      <c r="D45" s="59"/>
      <c r="E45" s="36"/>
      <c r="F45" s="37"/>
      <c r="G45" s="38"/>
      <c r="H45" s="44" t="s">
        <v>22</v>
      </c>
      <c r="I45" s="45">
        <f>+I44*19%</f>
        <v>2537043.59</v>
      </c>
      <c r="J45" s="36"/>
      <c r="K45" s="16"/>
    </row>
    <row r="46" spans="2:16" x14ac:dyDescent="0.35">
      <c r="B46" s="13"/>
      <c r="C46" s="36"/>
      <c r="D46" s="59"/>
      <c r="E46" s="36"/>
      <c r="F46" s="37"/>
      <c r="G46" s="38"/>
      <c r="H46" s="35" t="s">
        <v>5</v>
      </c>
      <c r="I46" s="35">
        <f>SUM(I44:I45)</f>
        <v>15889904.59</v>
      </c>
      <c r="J46" s="36"/>
      <c r="K46" s="16"/>
    </row>
    <row r="47" spans="2:16" ht="18.75" thickBot="1" x14ac:dyDescent="0.4">
      <c r="B47" s="17"/>
      <c r="C47" s="18"/>
      <c r="D47" s="60"/>
      <c r="E47" s="18"/>
      <c r="F47" s="19"/>
      <c r="G47" s="20"/>
      <c r="H47" s="21"/>
      <c r="I47" s="21"/>
      <c r="J47" s="18"/>
      <c r="K47" s="22"/>
    </row>
    <row r="49" spans="2:12" x14ac:dyDescent="0.35">
      <c r="B49" s="54" t="s">
        <v>24</v>
      </c>
      <c r="C49" s="52"/>
      <c r="D49" s="53"/>
      <c r="E49" s="52"/>
      <c r="F49" s="52"/>
      <c r="G49" s="52"/>
      <c r="H49" s="52"/>
      <c r="I49" s="52"/>
      <c r="J49" s="52"/>
      <c r="K49" s="52"/>
      <c r="L49" s="52"/>
    </row>
    <row r="50" spans="2:12" x14ac:dyDescent="0.35">
      <c r="B50" s="81" t="s">
        <v>25</v>
      </c>
      <c r="C50" s="81"/>
      <c r="D50" s="81"/>
      <c r="E50" s="81"/>
      <c r="F50" s="81"/>
      <c r="G50" s="81"/>
      <c r="H50" s="81"/>
      <c r="I50" s="81"/>
      <c r="J50" s="81"/>
      <c r="K50" s="81"/>
      <c r="L50" s="52"/>
    </row>
    <row r="51" spans="2:12" ht="56.45" customHeight="1" x14ac:dyDescent="0.35">
      <c r="B51" s="80" t="s">
        <v>26</v>
      </c>
      <c r="C51" s="80"/>
      <c r="D51" s="80"/>
      <c r="E51" s="80"/>
      <c r="F51" s="80"/>
      <c r="G51" s="80"/>
      <c r="H51" s="80"/>
      <c r="I51" s="80"/>
      <c r="J51" s="80"/>
      <c r="K51" s="80"/>
      <c r="L51" s="55"/>
    </row>
    <row r="52" spans="2:12" ht="19.149999999999999" customHeight="1" x14ac:dyDescent="0.35">
      <c r="B52" s="92" t="s">
        <v>27</v>
      </c>
      <c r="C52" s="92"/>
      <c r="D52" s="92"/>
      <c r="E52" s="92"/>
      <c r="F52" s="92"/>
      <c r="G52" s="92"/>
      <c r="H52" s="92"/>
      <c r="I52" s="92"/>
      <c r="J52" s="92"/>
      <c r="K52" s="92"/>
      <c r="L52" s="92"/>
    </row>
    <row r="53" spans="2:12" ht="53.45" customHeight="1" x14ac:dyDescent="0.35">
      <c r="B53" s="91" t="s">
        <v>28</v>
      </c>
      <c r="C53" s="91"/>
      <c r="D53" s="91"/>
      <c r="E53" s="91"/>
      <c r="F53" s="91"/>
      <c r="G53" s="91"/>
      <c r="H53" s="91"/>
      <c r="I53" s="91"/>
      <c r="J53" s="91"/>
      <c r="K53" s="91"/>
      <c r="L53" s="55"/>
    </row>
    <row r="54" spans="2:12" x14ac:dyDescent="0.35">
      <c r="B54" s="92" t="s">
        <v>29</v>
      </c>
      <c r="C54" s="92"/>
      <c r="D54" s="92"/>
      <c r="E54" s="92"/>
      <c r="F54" s="92"/>
      <c r="G54" s="92"/>
      <c r="H54" s="92"/>
      <c r="I54" s="92"/>
      <c r="J54" s="92"/>
      <c r="K54" s="92"/>
      <c r="L54" s="92"/>
    </row>
    <row r="55" spans="2:12" ht="47.45" customHeight="1" x14ac:dyDescent="0.35">
      <c r="B55" s="91" t="s">
        <v>30</v>
      </c>
      <c r="C55" s="91"/>
      <c r="D55" s="91"/>
      <c r="E55" s="91"/>
      <c r="F55" s="91"/>
      <c r="G55" s="91"/>
      <c r="H55" s="91"/>
      <c r="I55" s="91"/>
      <c r="J55" s="91"/>
      <c r="K55" s="91"/>
      <c r="L55" s="55"/>
    </row>
    <row r="56" spans="2:12" x14ac:dyDescent="0.35">
      <c r="B56" s="92" t="s">
        <v>31</v>
      </c>
      <c r="C56" s="92"/>
      <c r="D56" s="92"/>
      <c r="E56" s="92"/>
      <c r="F56" s="92"/>
      <c r="G56" s="92"/>
      <c r="H56" s="92"/>
      <c r="I56" s="92"/>
      <c r="J56" s="92"/>
      <c r="K56" s="92"/>
      <c r="L56" s="92"/>
    </row>
    <row r="57" spans="2:12" ht="60" customHeight="1" x14ac:dyDescent="0.35">
      <c r="B57" s="91" t="s">
        <v>32</v>
      </c>
      <c r="C57" s="91"/>
      <c r="D57" s="91"/>
      <c r="E57" s="91"/>
      <c r="F57" s="91"/>
      <c r="G57" s="91"/>
      <c r="H57" s="91"/>
      <c r="I57" s="91"/>
      <c r="J57" s="91"/>
      <c r="K57" s="91"/>
      <c r="L57" s="55"/>
    </row>
    <row r="58" spans="2:12" x14ac:dyDescent="0.35">
      <c r="B58" s="92" t="s">
        <v>33</v>
      </c>
      <c r="C58" s="92"/>
      <c r="D58" s="92"/>
      <c r="E58" s="92"/>
      <c r="F58" s="92"/>
      <c r="G58" s="92"/>
      <c r="H58" s="92"/>
      <c r="I58" s="92"/>
      <c r="J58" s="92"/>
      <c r="K58" s="92"/>
      <c r="L58" s="92"/>
    </row>
    <row r="59" spans="2:12" ht="29.45" customHeight="1" x14ac:dyDescent="0.35">
      <c r="B59" s="91" t="s">
        <v>34</v>
      </c>
      <c r="C59" s="91"/>
      <c r="D59" s="91"/>
      <c r="E59" s="91"/>
      <c r="F59" s="91"/>
      <c r="G59" s="91"/>
      <c r="H59" s="91"/>
      <c r="I59" s="91"/>
      <c r="J59" s="91"/>
      <c r="K59" s="91"/>
      <c r="L59" s="55"/>
    </row>
    <row r="60" spans="2:12" x14ac:dyDescent="0.35">
      <c r="B60" s="92" t="s">
        <v>35</v>
      </c>
      <c r="C60" s="92"/>
      <c r="D60" s="92"/>
      <c r="E60" s="92"/>
      <c r="F60" s="92"/>
      <c r="G60" s="92"/>
      <c r="H60" s="92"/>
      <c r="I60" s="92"/>
      <c r="J60" s="92"/>
      <c r="K60" s="92"/>
      <c r="L60" s="92"/>
    </row>
    <row r="61" spans="2:12" ht="31.9" customHeight="1" x14ac:dyDescent="0.35">
      <c r="B61" s="91" t="s">
        <v>36</v>
      </c>
      <c r="C61" s="91"/>
      <c r="D61" s="91"/>
      <c r="E61" s="91"/>
      <c r="F61" s="91"/>
      <c r="G61" s="91"/>
      <c r="H61" s="91"/>
      <c r="I61" s="91"/>
      <c r="J61" s="91"/>
      <c r="K61" s="91"/>
      <c r="L61" s="55"/>
    </row>
    <row r="62" spans="2:12" x14ac:dyDescent="0.35">
      <c r="B62" s="53"/>
      <c r="C62" s="52"/>
      <c r="D62" s="53"/>
      <c r="E62" s="52"/>
      <c r="F62" s="52"/>
      <c r="G62" s="52"/>
      <c r="H62" s="52"/>
      <c r="I62" s="52"/>
      <c r="J62" s="52"/>
      <c r="K62" s="52"/>
      <c r="L62" s="52"/>
    </row>
    <row r="63" spans="2:12" x14ac:dyDescent="0.35">
      <c r="B63" s="61" t="s">
        <v>38</v>
      </c>
      <c r="C63" s="52"/>
      <c r="D63" s="53"/>
      <c r="E63" s="52"/>
      <c r="F63" s="52"/>
      <c r="G63" s="52"/>
      <c r="H63" s="52"/>
      <c r="I63" s="52"/>
      <c r="J63" s="52"/>
      <c r="K63" s="52"/>
      <c r="L63" s="52"/>
    </row>
    <row r="64" spans="2:12" x14ac:dyDescent="0.35">
      <c r="B64" s="62" t="s">
        <v>39</v>
      </c>
      <c r="C64" s="52"/>
      <c r="D64" s="53"/>
      <c r="E64" s="52"/>
      <c r="F64" s="52"/>
      <c r="G64" s="52"/>
      <c r="H64" s="52"/>
      <c r="I64" s="52"/>
      <c r="J64" s="52"/>
      <c r="K64" s="52"/>
      <c r="L64" s="52"/>
    </row>
  </sheetData>
  <mergeCells count="32">
    <mergeCell ref="B59:K59"/>
    <mergeCell ref="B60:L60"/>
    <mergeCell ref="B61:K61"/>
    <mergeCell ref="B52:L52"/>
    <mergeCell ref="B53:K53"/>
    <mergeCell ref="B54:L54"/>
    <mergeCell ref="B55:K55"/>
    <mergeCell ref="B56:L56"/>
    <mergeCell ref="B57:K57"/>
    <mergeCell ref="B58:L58"/>
    <mergeCell ref="B51:K51"/>
    <mergeCell ref="B50:K50"/>
    <mergeCell ref="H12:I12"/>
    <mergeCell ref="H11:I11"/>
    <mergeCell ref="D16:D19"/>
    <mergeCell ref="D20:D24"/>
    <mergeCell ref="D25:D28"/>
    <mergeCell ref="C16:C19"/>
    <mergeCell ref="C20:C24"/>
    <mergeCell ref="D30:D32"/>
    <mergeCell ref="J16:J19"/>
    <mergeCell ref="J20:J24"/>
    <mergeCell ref="J25:J28"/>
    <mergeCell ref="C25:C28"/>
    <mergeCell ref="C30:C32"/>
    <mergeCell ref="I3:I4"/>
    <mergeCell ref="J3:J4"/>
    <mergeCell ref="H8:I8"/>
    <mergeCell ref="C6:J6"/>
    <mergeCell ref="J30:J32"/>
    <mergeCell ref="H10:I10"/>
    <mergeCell ref="H9:I9"/>
  </mergeCells>
  <printOptions verticalCentered="1"/>
  <pageMargins left="0" right="0.23622047244094491" top="0.74803149606299213" bottom="0.74803149606299213" header="0.31496062992125984" footer="0.31496062992125984"/>
  <pageSetup scale="50"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1 - COT. RESUMEN</vt:lpstr>
      <vt:lpstr>'1 - COT. RESUMEN'!_MailAutoSig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Diseno OH</dc:creator>
  <cp:lastModifiedBy>Ventas Ohffice 2</cp:lastModifiedBy>
  <cp:lastPrinted>2024-05-29T20:33:49Z</cp:lastPrinted>
  <dcterms:created xsi:type="dcterms:W3CDTF">2024-01-17T11:21:43Z</dcterms:created>
  <dcterms:modified xsi:type="dcterms:W3CDTF">2024-06-12T18:21:46Z</dcterms:modified>
</cp:coreProperties>
</file>