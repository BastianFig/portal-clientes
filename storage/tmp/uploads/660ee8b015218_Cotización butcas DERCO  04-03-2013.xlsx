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270" windowWidth="9060" windowHeight="6795"/>
  </bookViews>
  <sheets>
    <sheet name="Hoja1" sheetId="1" r:id="rId1"/>
    <sheet name="Hoja2" sheetId="2" r:id="rId2"/>
    <sheet name="Hoja3" sheetId="3" r:id="rId3"/>
  </sheets>
  <definedNames>
    <definedName name="_xlnm.Print_Area" localSheetId="0">Hoja1!$A$1:$F$204</definedName>
  </definedNames>
  <calcPr calcId="125725"/>
</workbook>
</file>

<file path=xl/calcChain.xml><?xml version="1.0" encoding="utf-8"?>
<calcChain xmlns="http://schemas.openxmlformats.org/spreadsheetml/2006/main">
  <c r="E181" i="1"/>
  <c r="E169"/>
  <c r="E168"/>
  <c r="E166"/>
  <c r="E164"/>
  <c r="E163"/>
  <c r="E157"/>
  <c r="E154"/>
  <c r="E153"/>
  <c r="E152"/>
  <c r="E146"/>
  <c r="E144"/>
  <c r="E143"/>
  <c r="E142"/>
  <c r="E141"/>
  <c r="E140"/>
  <c r="E139"/>
  <c r="E135"/>
  <c r="E134"/>
  <c r="E133"/>
  <c r="E126"/>
  <c r="E125"/>
  <c r="E106"/>
  <c r="E105"/>
  <c r="E104"/>
  <c r="E103"/>
  <c r="E102"/>
  <c r="E101"/>
  <c r="E100"/>
  <c r="E82"/>
  <c r="E81"/>
  <c r="E80"/>
  <c r="E79"/>
  <c r="E78"/>
  <c r="E77"/>
  <c r="E70"/>
  <c r="E57"/>
  <c r="E56"/>
  <c r="E55"/>
  <c r="E54"/>
  <c r="E53"/>
  <c r="E52"/>
  <c r="E51"/>
  <c r="E21"/>
  <c r="E167" l="1"/>
  <c r="E165"/>
  <c r="E170" l="1"/>
  <c r="E156"/>
  <c r="E155"/>
  <c r="E151"/>
  <c r="E145"/>
  <c r="E137"/>
  <c r="E136"/>
  <c r="E132"/>
  <c r="E127"/>
  <c r="E123"/>
  <c r="E122"/>
  <c r="E121"/>
  <c r="E120"/>
  <c r="E119"/>
  <c r="E118"/>
  <c r="E116"/>
  <c r="E115"/>
  <c r="E114"/>
  <c r="E113"/>
  <c r="E107"/>
  <c r="E98"/>
  <c r="E97"/>
  <c r="E96"/>
  <c r="E95"/>
  <c r="E94"/>
  <c r="E93"/>
  <c r="E91"/>
  <c r="E90"/>
  <c r="E89"/>
  <c r="E88"/>
  <c r="E83"/>
  <c r="E75"/>
  <c r="E74"/>
  <c r="E73"/>
  <c r="E72"/>
  <c r="E71"/>
  <c r="E69"/>
  <c r="E67"/>
  <c r="E66"/>
  <c r="E65"/>
  <c r="E64"/>
  <c r="E158" l="1"/>
  <c r="E128"/>
  <c r="E108"/>
  <c r="E84"/>
  <c r="E178"/>
  <c r="E177"/>
  <c r="E176"/>
  <c r="E179" l="1"/>
  <c r="E58" l="1"/>
  <c r="E49"/>
  <c r="E48"/>
  <c r="E47"/>
  <c r="E46"/>
  <c r="E45"/>
  <c r="E44"/>
  <c r="E42"/>
  <c r="E41"/>
  <c r="E40"/>
  <c r="E39"/>
  <c r="E38"/>
  <c r="E33"/>
  <c r="E32"/>
  <c r="E31"/>
  <c r="E30"/>
  <c r="E29"/>
  <c r="E24"/>
  <c r="E23"/>
  <c r="E34" l="1"/>
  <c r="E59"/>
  <c r="E22"/>
  <c r="E20"/>
  <c r="E19"/>
  <c r="E25" l="1"/>
  <c r="E182" l="1"/>
  <c r="E183" s="1"/>
  <c r="E184" s="1"/>
  <c r="E185" s="1"/>
</calcChain>
</file>

<file path=xl/sharedStrings.xml><?xml version="1.0" encoding="utf-8"?>
<sst xmlns="http://schemas.openxmlformats.org/spreadsheetml/2006/main" count="213" uniqueCount="91">
  <si>
    <t>Descripción del Producto</t>
  </si>
  <si>
    <t>Cant.</t>
  </si>
  <si>
    <t>Valor Unit.</t>
  </si>
  <si>
    <t>Total</t>
  </si>
  <si>
    <t>Sub Total</t>
  </si>
  <si>
    <t>IVA 19%</t>
  </si>
  <si>
    <t xml:space="preserve">Total  </t>
  </si>
  <si>
    <t xml:space="preserve">Señores </t>
  </si>
  <si>
    <t>Presente</t>
  </si>
  <si>
    <t>Condiciones Comerciales:</t>
  </si>
  <si>
    <t>50% contra recepción conforme</t>
  </si>
  <si>
    <t>Plazo Fabricación:</t>
  </si>
  <si>
    <t>Garantía de los productos:</t>
  </si>
  <si>
    <t>Atentamente,</t>
  </si>
  <si>
    <t>50% anticipo al día adjuto a O.C.</t>
  </si>
  <si>
    <t>Mobiliario estándar, 15 días hábiles de fabricación</t>
  </si>
  <si>
    <t>Mobiliario especial, 20 días hábiles de fabricación</t>
  </si>
  <si>
    <t>Rectificación de espacios, 02 días hábiles</t>
  </si>
  <si>
    <t>Sillas, 02 años por defectos de fabricación.</t>
  </si>
  <si>
    <t>Mobiliario, 05 años por defectos de fabricación.</t>
  </si>
  <si>
    <t>Los plazos para proyectos fuera de la Región Metropolitana, serán evaluados con el Cliente</t>
  </si>
  <si>
    <t>ITEM</t>
  </si>
  <si>
    <t>Paola Yanquez C.</t>
  </si>
  <si>
    <t>Arquitecto de Interiores</t>
  </si>
  <si>
    <t>Ejecutiva de Proyecto</t>
  </si>
  <si>
    <t>Decuento</t>
  </si>
  <si>
    <t>Total Neto</t>
  </si>
  <si>
    <t>DERCO</t>
  </si>
  <si>
    <t>At.: Sr. Francisco Olivares</t>
  </si>
  <si>
    <t>Cajonera de pedestal 2C 1 K.</t>
  </si>
  <si>
    <t>ADMINISTRATIVOS</t>
  </si>
  <si>
    <t>Soporte para biombos</t>
  </si>
  <si>
    <t>Biombo vidrio pavonado 1200x280.</t>
  </si>
  <si>
    <t>Gabinete bajo sin cubierta y puertas correderas 1200x500</t>
  </si>
  <si>
    <t>Escritorio "Bota" 1700x800, cubierta e= 24 mm laminada</t>
  </si>
  <si>
    <t>Agregado lateral 1380x600, cubierta e= 24 mm laminada</t>
  </si>
  <si>
    <t>Pasacable</t>
  </si>
  <si>
    <t>Pasacables</t>
  </si>
  <si>
    <t>Escritorio "Bota" 1500x800, cubierta e= 24 mm laminada</t>
  </si>
  <si>
    <t>Pilar 21/2</t>
  </si>
  <si>
    <t>Tapas terminales</t>
  </si>
  <si>
    <t>SECRETARIA</t>
  </si>
  <si>
    <t>Escritorio recto 1800x600, cubierta e= 24 mm laminada</t>
  </si>
  <si>
    <t>SALA DE REUNIÓN</t>
  </si>
  <si>
    <t xml:space="preserve">       Santiago 2 de Marzo de 2013</t>
  </si>
  <si>
    <t>Cubierta recta 1200x600. Cubierta e= 24 mm laminada</t>
  </si>
  <si>
    <t>Cubierta recta 1200x600, cubierta e= 24 mm laminada</t>
  </si>
  <si>
    <t>Gabinete bajo con cubierta y puertas de abatir 800x500</t>
  </si>
  <si>
    <t>EQUIPO 1 y 2</t>
  </si>
  <si>
    <t>PRIVADOS  2 y 3</t>
  </si>
  <si>
    <t>PRIVADOS  1 y 4</t>
  </si>
  <si>
    <t>Cubierta recta 1100x600, cubierta e= 24 mm laminada</t>
  </si>
  <si>
    <t>Cubierta recta 1400x700, cubierta e= 24 mm laminada</t>
  </si>
  <si>
    <t>PANELERÍA</t>
  </si>
  <si>
    <t>Pilar de inicio HQ 50 h=1290</t>
  </si>
  <si>
    <t>Pilar conector "T" HQ 50 h=1290</t>
  </si>
  <si>
    <t>Pilar conector "L" HQ 50 h= 1290</t>
  </si>
  <si>
    <t>Juego de Tapiz para panel HQ 50. 970X1125</t>
  </si>
  <si>
    <t>Juego de Tapiz para panel HQ 50. 1100X1125</t>
  </si>
  <si>
    <t>Estructura de panel HQ 50. 970x1290.</t>
  </si>
  <si>
    <t>Estructura de panel HQ 50. 1100x1290.</t>
  </si>
  <si>
    <t>EQUIPO 3</t>
  </si>
  <si>
    <t>Cubierta semi circunferencia 1400x700. cubierta e= 24 mm laminada</t>
  </si>
  <si>
    <t>EQUIPO 4</t>
  </si>
  <si>
    <t>Juego de Tapiz para panel HQ 50. 1050X1125</t>
  </si>
  <si>
    <t>Estructura de panel HQ 50. 1050x1290.</t>
  </si>
  <si>
    <t>Estructura de panel HQ 50. 1159,4x1290.</t>
  </si>
  <si>
    <t>Juego de Tapiz para panel HQ 50. 1159,4X1125</t>
  </si>
  <si>
    <t>EQUIPO 5</t>
  </si>
  <si>
    <t>EXTERNOS</t>
  </si>
  <si>
    <t>Cubierta recta 1000x600, cubierta e= 24 mm laminada</t>
  </si>
  <si>
    <t>Cubierta recta 1152x600, cubierta e= 24 mm laminada</t>
  </si>
  <si>
    <t>Cubierta recta 1900x600, cubierta e= 24 mm laminada</t>
  </si>
  <si>
    <t>Cubierta angulo 1600x1200, cubierta e= 24 mm laminada</t>
  </si>
  <si>
    <t>Estructura de panel HQ 50. 1150x1290.</t>
  </si>
  <si>
    <t>Juego de Tapiz para panel HQ 50. 1150X1125</t>
  </si>
  <si>
    <t>Estructura de panel HQ 50. 1016,6x1290.</t>
  </si>
  <si>
    <t>Juego de Tapiz para panel HQ 50. 1016,6X1125</t>
  </si>
  <si>
    <t>Frente de panel laminado 1800X680. h=1100.</t>
  </si>
  <si>
    <t>Cubierta recta 1000x500. Cubierta e= 24 mm laminada</t>
  </si>
  <si>
    <t>Gabinete bajo con cubierta y con puertas correderas de 1200x500</t>
  </si>
  <si>
    <t>Butaca 1 cuerpo modelo Marion tapiz Renna color a elegir</t>
  </si>
  <si>
    <t>COFFE AREA</t>
  </si>
  <si>
    <t>Cubierta recta 1290x600. Cubierta e= 24 mm laminada</t>
  </si>
  <si>
    <t>Sofá 2 cuerpos modelo Marion tapiz Renna color a elegir</t>
  </si>
  <si>
    <t>Gabinete repisero 800x350. h= 650</t>
  </si>
  <si>
    <t>Cubierta común para gabinetes repiseros 1600x350. Cubierta e= 24 mm laminada</t>
  </si>
  <si>
    <t>Silla de casino modelo OKI</t>
  </si>
  <si>
    <t>Mesa de reuniones compuesta por 2 partes. 1960x1400, h=730.bloques, c/u compuesta por 3
partes.Soportada en estructura pilares, central electrificable. Full laminado</t>
  </si>
  <si>
    <t>Modulo Caja electrificable</t>
  </si>
  <si>
    <t>Gabinete bajo con cubierta y puertas correderas 1200x500</t>
  </si>
</sst>
</file>

<file path=xl/styles.xml><?xml version="1.0" encoding="utf-8"?>
<styleSheet xmlns="http://schemas.openxmlformats.org/spreadsheetml/2006/main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,##0_-;\-&quot;$&quot;\ * #,##0_-;_-&quot;$&quot;\ * &quot;-&quot;??_-;_-@_-"/>
  </numFmts>
  <fonts count="11">
    <font>
      <sz val="10"/>
      <name val="Arial"/>
    </font>
    <font>
      <sz val="10"/>
      <name val="Arial"/>
    </font>
    <font>
      <b/>
      <u/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23"/>
      <name val="Arial"/>
      <family val="2"/>
    </font>
    <font>
      <sz val="10"/>
      <color indexed="23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65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44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8" tint="0.59999389629810485"/>
        <bgColor indexed="8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164" fontId="0" fillId="2" borderId="0" xfId="1" applyNumberFormat="1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164" fontId="4" fillId="4" borderId="1" xfId="1" applyNumberFormat="1" applyFont="1" applyFill="1" applyBorder="1"/>
    <xf numFmtId="165" fontId="4" fillId="4" borderId="1" xfId="2" applyNumberFormat="1" applyFont="1" applyFill="1" applyBorder="1"/>
    <xf numFmtId="164" fontId="4" fillId="2" borderId="1" xfId="0" applyNumberFormat="1" applyFont="1" applyFill="1" applyBorder="1"/>
    <xf numFmtId="0" fontId="0" fillId="2" borderId="0" xfId="0" applyFill="1" applyBorder="1"/>
    <xf numFmtId="9" fontId="4" fillId="2" borderId="0" xfId="3" applyFont="1" applyFill="1" applyAlignment="1">
      <alignment horizontal="right"/>
    </xf>
    <xf numFmtId="9" fontId="4" fillId="2" borderId="1" xfId="3" applyFont="1" applyFill="1" applyBorder="1" applyAlignment="1">
      <alignment horizontal="right"/>
    </xf>
    <xf numFmtId="0" fontId="3" fillId="2" borderId="0" xfId="0" applyFont="1" applyFill="1"/>
    <xf numFmtId="0" fontId="2" fillId="2" borderId="0" xfId="0" applyFont="1" applyFill="1"/>
    <xf numFmtId="164" fontId="0" fillId="2" borderId="0" xfId="1" applyNumberFormat="1" applyFont="1" applyFill="1" applyBorder="1"/>
    <xf numFmtId="0" fontId="7" fillId="5" borderId="0" xfId="0" applyFont="1" applyFill="1" applyBorder="1"/>
    <xf numFmtId="0" fontId="8" fillId="6" borderId="0" xfId="0" applyFont="1" applyFill="1" applyBorder="1"/>
    <xf numFmtId="0" fontId="7" fillId="6" borderId="0" xfId="0" applyFont="1" applyFill="1" applyBorder="1"/>
    <xf numFmtId="0" fontId="8" fillId="5" borderId="0" xfId="0" applyFont="1" applyFill="1" applyBorder="1"/>
    <xf numFmtId="0" fontId="0" fillId="7" borderId="0" xfId="0" applyFill="1"/>
    <xf numFmtId="0" fontId="5" fillId="2" borderId="0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164" fontId="4" fillId="2" borderId="1" xfId="3" applyNumberFormat="1" applyFont="1" applyFill="1" applyBorder="1" applyAlignment="1">
      <alignment horizontal="right"/>
    </xf>
    <xf numFmtId="0" fontId="8" fillId="2" borderId="0" xfId="0" applyFont="1" applyFill="1" applyBorder="1" applyAlignment="1">
      <alignment wrapText="1"/>
    </xf>
    <xf numFmtId="0" fontId="5" fillId="8" borderId="1" xfId="0" applyFont="1" applyFill="1" applyBorder="1" applyAlignment="1">
      <alignment horizontal="center" vertical="center"/>
    </xf>
    <xf numFmtId="164" fontId="5" fillId="8" borderId="1" xfId="1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/>
    </xf>
    <xf numFmtId="0" fontId="5" fillId="8" borderId="1" xfId="0" applyFont="1" applyFill="1" applyBorder="1"/>
    <xf numFmtId="164" fontId="4" fillId="8" borderId="0" xfId="1" applyNumberFormat="1" applyFont="1" applyFill="1" applyBorder="1" applyAlignment="1">
      <alignment vertical="center"/>
    </xf>
    <xf numFmtId="0" fontId="5" fillId="8" borderId="2" xfId="0" applyFont="1" applyFill="1" applyBorder="1" applyAlignment="1">
      <alignment horizontal="center"/>
    </xf>
    <xf numFmtId="164" fontId="5" fillId="8" borderId="2" xfId="1" applyNumberFormat="1" applyFont="1" applyFill="1" applyBorder="1" applyAlignment="1">
      <alignment horizontal="center" vertical="center"/>
    </xf>
    <xf numFmtId="164" fontId="4" fillId="9" borderId="1" xfId="1" applyNumberFormat="1" applyFont="1" applyFill="1" applyBorder="1" applyAlignment="1">
      <alignment vertical="center"/>
    </xf>
    <xf numFmtId="9" fontId="4" fillId="9" borderId="1" xfId="3" applyFont="1" applyFill="1" applyBorder="1" applyAlignment="1">
      <alignment horizontal="right"/>
    </xf>
    <xf numFmtId="164" fontId="4" fillId="9" borderId="1" xfId="3" applyNumberFormat="1" applyFont="1" applyFill="1" applyBorder="1" applyAlignment="1">
      <alignment horizontal="right"/>
    </xf>
    <xf numFmtId="0" fontId="5" fillId="8" borderId="2" xfId="0" applyFont="1" applyFill="1" applyBorder="1" applyAlignment="1">
      <alignment horizontal="center" vertical="center"/>
    </xf>
    <xf numFmtId="0" fontId="5" fillId="8" borderId="2" xfId="0" applyFont="1" applyFill="1" applyBorder="1"/>
    <xf numFmtId="0" fontId="4" fillId="2" borderId="0" xfId="0" applyFont="1" applyFill="1" applyBorder="1" applyAlignment="1">
      <alignment horizontal="left"/>
    </xf>
    <xf numFmtId="0" fontId="0" fillId="8" borderId="2" xfId="0" applyFill="1" applyBorder="1" applyAlignment="1">
      <alignment horizontal="center" vertical="center" wrapText="1"/>
    </xf>
    <xf numFmtId="0" fontId="9" fillId="8" borderId="1" xfId="0" applyFont="1" applyFill="1" applyBorder="1" applyAlignment="1">
      <alignment vertical="center" wrapText="1"/>
    </xf>
    <xf numFmtId="164" fontId="5" fillId="8" borderId="3" xfId="1" applyNumberFormat="1" applyFont="1" applyFill="1" applyBorder="1"/>
    <xf numFmtId="0" fontId="5" fillId="8" borderId="2" xfId="0" applyFont="1" applyFill="1" applyBorder="1" applyAlignment="1">
      <alignment vertical="center" wrapText="1"/>
    </xf>
    <xf numFmtId="164" fontId="5" fillId="8" borderId="2" xfId="1" applyNumberFormat="1" applyFont="1" applyFill="1" applyBorder="1" applyAlignment="1">
      <alignment vertical="center"/>
    </xf>
    <xf numFmtId="0" fontId="5" fillId="5" borderId="2" xfId="0" applyFont="1" applyFill="1" applyBorder="1" applyAlignment="1">
      <alignment wrapText="1"/>
    </xf>
    <xf numFmtId="0" fontId="4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wrapText="1"/>
    </xf>
    <xf numFmtId="0" fontId="0" fillId="5" borderId="2" xfId="0" applyFill="1" applyBorder="1" applyAlignment="1">
      <alignment horizontal="center" vertical="center" wrapText="1"/>
    </xf>
    <xf numFmtId="164" fontId="0" fillId="2" borderId="0" xfId="0" applyNumberFormat="1" applyFill="1"/>
  </cellXfs>
  <cellStyles count="4">
    <cellStyle name="Millares" xfId="1" builtinId="3"/>
    <cellStyle name="Moneda" xfId="2" builtinId="4"/>
    <cellStyle name="Normal" xfId="0" builtinId="0"/>
    <cellStyle name="Porcentual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1</xdr:row>
      <xdr:rowOff>104775</xdr:rowOff>
    </xdr:from>
    <xdr:to>
      <xdr:col>5</xdr:col>
      <xdr:colOff>254000</xdr:colOff>
      <xdr:row>6</xdr:row>
      <xdr:rowOff>28575</xdr:rowOff>
    </xdr:to>
    <xdr:pic>
      <xdr:nvPicPr>
        <xdr:cNvPr id="1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08850" y="263525"/>
          <a:ext cx="1612900" cy="844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82550</xdr:colOff>
      <xdr:row>197</xdr:row>
      <xdr:rowOff>25400</xdr:rowOff>
    </xdr:from>
    <xdr:to>
      <xdr:col>1</xdr:col>
      <xdr:colOff>873125</xdr:colOff>
      <xdr:row>199</xdr:row>
      <xdr:rowOff>111125</xdr:rowOff>
    </xdr:to>
    <xdr:pic>
      <xdr:nvPicPr>
        <xdr:cNvPr id="1122" name="Picture 6" descr="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16467" y="29394150"/>
          <a:ext cx="790575" cy="403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F209"/>
  <sheetViews>
    <sheetView tabSelected="1" topLeftCell="A164" zoomScale="90" zoomScaleNormal="90" workbookViewId="0">
      <selection activeCell="E183" sqref="E183"/>
    </sheetView>
  </sheetViews>
  <sheetFormatPr baseColWidth="10" defaultRowHeight="12.75"/>
  <cols>
    <col min="1" max="1" width="6.5703125" style="2" customWidth="1"/>
    <col min="2" max="2" width="89.28515625" style="2" bestFit="1" customWidth="1"/>
    <col min="3" max="3" width="8.85546875" style="2" customWidth="1"/>
    <col min="4" max="4" width="11.5703125" style="3" customWidth="1"/>
    <col min="5" max="5" width="13.7109375" style="1" customWidth="1"/>
    <col min="6" max="6" width="11.42578125" style="2"/>
    <col min="7" max="7" width="12.28515625" style="2" bestFit="1" customWidth="1"/>
    <col min="8" max="16384" width="11.42578125" style="2"/>
  </cols>
  <sheetData>
    <row r="4" spans="2:5" ht="15.75">
      <c r="B4" s="13" t="s">
        <v>7</v>
      </c>
    </row>
    <row r="5" spans="2:5" ht="15.75">
      <c r="B5" s="13" t="s">
        <v>27</v>
      </c>
    </row>
    <row r="6" spans="2:5" ht="15.75">
      <c r="B6" s="14" t="s">
        <v>28</v>
      </c>
    </row>
    <row r="7" spans="2:5" ht="15.75">
      <c r="B7" s="13" t="s">
        <v>8</v>
      </c>
    </row>
    <row r="8" spans="2:5" ht="15.75">
      <c r="B8" s="13"/>
    </row>
    <row r="9" spans="2:5" ht="15.75">
      <c r="B9" s="13"/>
    </row>
    <row r="11" spans="2:5" s="10" customFormat="1">
      <c r="B11" s="44"/>
      <c r="C11" s="44"/>
      <c r="D11" s="21" t="s">
        <v>44</v>
      </c>
      <c r="E11" s="15"/>
    </row>
    <row r="12" spans="2:5" s="10" customFormat="1">
      <c r="B12" s="37"/>
      <c r="C12" s="37"/>
      <c r="D12" s="21"/>
      <c r="E12" s="15"/>
    </row>
    <row r="13" spans="2:5" s="10" customFormat="1">
      <c r="B13" s="37"/>
      <c r="C13" s="37"/>
      <c r="D13" s="21"/>
      <c r="E13" s="15"/>
    </row>
    <row r="14" spans="2:5" s="10" customFormat="1">
      <c r="B14" s="45"/>
      <c r="C14" s="37"/>
      <c r="D14" s="21"/>
      <c r="E14" s="15"/>
    </row>
    <row r="15" spans="2:5" s="10" customFormat="1">
      <c r="B15" s="37"/>
      <c r="C15" s="37"/>
      <c r="D15" s="21"/>
      <c r="E15" s="15"/>
    </row>
    <row r="16" spans="2:5" s="10" customFormat="1">
      <c r="B16" s="27"/>
      <c r="C16" s="27"/>
      <c r="D16" s="21"/>
      <c r="E16" s="15"/>
    </row>
    <row r="17" spans="1:6" ht="18">
      <c r="A17" s="22" t="s">
        <v>21</v>
      </c>
      <c r="B17" s="46" t="s">
        <v>50</v>
      </c>
      <c r="C17" s="4"/>
      <c r="D17" s="1"/>
      <c r="E17" s="2"/>
    </row>
    <row r="18" spans="1:6">
      <c r="A18" s="5"/>
      <c r="B18" s="5" t="s">
        <v>0</v>
      </c>
      <c r="C18" s="6" t="s">
        <v>1</v>
      </c>
      <c r="D18" s="7" t="s">
        <v>2</v>
      </c>
      <c r="E18" s="8" t="s">
        <v>3</v>
      </c>
    </row>
    <row r="19" spans="1:6">
      <c r="A19" s="25">
        <v>1</v>
      </c>
      <c r="B19" s="28" t="s">
        <v>34</v>
      </c>
      <c r="C19" s="38">
        <v>2</v>
      </c>
      <c r="D19" s="31">
        <v>190000</v>
      </c>
      <c r="E19" s="26">
        <f t="shared" ref="E19:E20" si="0">D19*C19</f>
        <v>380000</v>
      </c>
      <c r="F19" s="40"/>
    </row>
    <row r="20" spans="1:6">
      <c r="A20" s="25">
        <v>2</v>
      </c>
      <c r="B20" s="36" t="s">
        <v>35</v>
      </c>
      <c r="C20" s="38">
        <v>1</v>
      </c>
      <c r="D20" s="31">
        <v>116000</v>
      </c>
      <c r="E20" s="26">
        <f t="shared" si="0"/>
        <v>116000</v>
      </c>
    </row>
    <row r="21" spans="1:6">
      <c r="A21" s="35">
        <v>3</v>
      </c>
      <c r="B21" s="36" t="s">
        <v>45</v>
      </c>
      <c r="C21" s="38">
        <v>1</v>
      </c>
      <c r="D21" s="31">
        <v>58000</v>
      </c>
      <c r="E21" s="31">
        <f>D21*C21</f>
        <v>58000</v>
      </c>
    </row>
    <row r="22" spans="1:6" ht="13.5" customHeight="1">
      <c r="A22" s="25">
        <v>4</v>
      </c>
      <c r="B22" s="36" t="s">
        <v>33</v>
      </c>
      <c r="C22" s="38">
        <v>4</v>
      </c>
      <c r="D22" s="31">
        <v>177000</v>
      </c>
      <c r="E22" s="26">
        <f t="shared" ref="E22" si="1">D22*C22</f>
        <v>708000</v>
      </c>
    </row>
    <row r="23" spans="1:6" ht="13.5" customHeight="1">
      <c r="A23" s="35">
        <v>5</v>
      </c>
      <c r="B23" s="28" t="s">
        <v>29</v>
      </c>
      <c r="C23" s="38">
        <v>2</v>
      </c>
      <c r="D23" s="31">
        <v>120000</v>
      </c>
      <c r="E23" s="31">
        <f>D23*C23</f>
        <v>240000</v>
      </c>
    </row>
    <row r="24" spans="1:6" ht="13.5" customHeight="1">
      <c r="A24" s="35">
        <v>6</v>
      </c>
      <c r="B24" s="36" t="s">
        <v>37</v>
      </c>
      <c r="C24" s="35">
        <v>2</v>
      </c>
      <c r="D24" s="31">
        <v>2500</v>
      </c>
      <c r="E24" s="31">
        <f>D24*C24</f>
        <v>5000</v>
      </c>
    </row>
    <row r="25" spans="1:6">
      <c r="D25" s="11" t="s">
        <v>4</v>
      </c>
      <c r="E25" s="32">
        <f>SUM(E19:E24)</f>
        <v>1507000</v>
      </c>
    </row>
    <row r="26" spans="1:6">
      <c r="D26" s="11"/>
      <c r="E26" s="29"/>
    </row>
    <row r="27" spans="1:6" ht="18">
      <c r="A27" s="22" t="s">
        <v>21</v>
      </c>
      <c r="B27" s="46" t="s">
        <v>49</v>
      </c>
      <c r="C27" s="4"/>
      <c r="D27" s="1"/>
      <c r="E27" s="2"/>
    </row>
    <row r="28" spans="1:6">
      <c r="A28" s="5"/>
      <c r="B28" s="5" t="s">
        <v>0</v>
      </c>
      <c r="C28" s="6" t="s">
        <v>1</v>
      </c>
      <c r="D28" s="7" t="s">
        <v>2</v>
      </c>
      <c r="E28" s="8" t="s">
        <v>3</v>
      </c>
    </row>
    <row r="29" spans="1:6">
      <c r="A29" s="25">
        <v>1</v>
      </c>
      <c r="B29" s="28" t="s">
        <v>38</v>
      </c>
      <c r="C29" s="38">
        <v>2</v>
      </c>
      <c r="D29" s="31">
        <v>175000</v>
      </c>
      <c r="E29" s="26">
        <f t="shared" ref="E29:E31" si="2">D29*C29</f>
        <v>350000</v>
      </c>
    </row>
    <row r="30" spans="1:6">
      <c r="A30" s="25">
        <v>2</v>
      </c>
      <c r="B30" s="36" t="s">
        <v>46</v>
      </c>
      <c r="C30" s="38">
        <v>2</v>
      </c>
      <c r="D30" s="31">
        <v>58000</v>
      </c>
      <c r="E30" s="26">
        <f t="shared" si="2"/>
        <v>116000</v>
      </c>
    </row>
    <row r="31" spans="1:6">
      <c r="A31" s="25">
        <v>3</v>
      </c>
      <c r="B31" s="36" t="s">
        <v>47</v>
      </c>
      <c r="C31" s="38">
        <v>2</v>
      </c>
      <c r="D31" s="31">
        <v>142000</v>
      </c>
      <c r="E31" s="26">
        <f t="shared" si="2"/>
        <v>284000</v>
      </c>
    </row>
    <row r="32" spans="1:6">
      <c r="A32" s="35">
        <v>4</v>
      </c>
      <c r="B32" s="28" t="s">
        <v>29</v>
      </c>
      <c r="C32" s="38">
        <v>2</v>
      </c>
      <c r="D32" s="31">
        <v>120000</v>
      </c>
      <c r="E32" s="31">
        <f>D32*C32</f>
        <v>240000</v>
      </c>
    </row>
    <row r="33" spans="1:5">
      <c r="A33" s="35">
        <v>6</v>
      </c>
      <c r="B33" s="36" t="s">
        <v>37</v>
      </c>
      <c r="C33" s="35">
        <v>2</v>
      </c>
      <c r="D33" s="31">
        <v>2500</v>
      </c>
      <c r="E33" s="31">
        <f>D33*C33</f>
        <v>5000</v>
      </c>
    </row>
    <row r="34" spans="1:5">
      <c r="D34" s="11" t="s">
        <v>4</v>
      </c>
      <c r="E34" s="32">
        <f>SUM(E29:E33)</f>
        <v>995000</v>
      </c>
    </row>
    <row r="35" spans="1:5">
      <c r="D35" s="11"/>
      <c r="E35" s="29"/>
    </row>
    <row r="36" spans="1:5" ht="18">
      <c r="A36" s="22" t="s">
        <v>21</v>
      </c>
      <c r="B36" s="46" t="s">
        <v>48</v>
      </c>
      <c r="C36" s="4"/>
      <c r="D36" s="1"/>
      <c r="E36" s="2"/>
    </row>
    <row r="37" spans="1:5">
      <c r="A37" s="5"/>
      <c r="B37" s="5" t="s">
        <v>0</v>
      </c>
      <c r="C37" s="6" t="s">
        <v>1</v>
      </c>
      <c r="D37" s="7" t="s">
        <v>2</v>
      </c>
      <c r="E37" s="8" t="s">
        <v>3</v>
      </c>
    </row>
    <row r="38" spans="1:5">
      <c r="A38" s="25">
        <v>1</v>
      </c>
      <c r="B38" s="28" t="s">
        <v>38</v>
      </c>
      <c r="C38" s="38">
        <v>2</v>
      </c>
      <c r="D38" s="31">
        <v>175000</v>
      </c>
      <c r="E38" s="26">
        <f t="shared" ref="E38:E40" si="3">D38*C38</f>
        <v>350000</v>
      </c>
    </row>
    <row r="39" spans="1:5">
      <c r="A39" s="25">
        <v>2</v>
      </c>
      <c r="B39" s="36" t="s">
        <v>51</v>
      </c>
      <c r="C39" s="38">
        <v>2</v>
      </c>
      <c r="D39" s="31">
        <v>58000</v>
      </c>
      <c r="E39" s="26">
        <f t="shared" si="3"/>
        <v>116000</v>
      </c>
    </row>
    <row r="40" spans="1:5">
      <c r="A40" s="25">
        <v>3</v>
      </c>
      <c r="B40" s="36" t="s">
        <v>90</v>
      </c>
      <c r="C40" s="38">
        <v>1</v>
      </c>
      <c r="D40" s="31">
        <v>177000</v>
      </c>
      <c r="E40" s="26">
        <f t="shared" si="3"/>
        <v>177000</v>
      </c>
    </row>
    <row r="41" spans="1:5">
      <c r="A41" s="35">
        <v>4</v>
      </c>
      <c r="B41" s="28" t="s">
        <v>29</v>
      </c>
      <c r="C41" s="38">
        <v>2</v>
      </c>
      <c r="D41" s="31">
        <v>120000</v>
      </c>
      <c r="E41" s="31">
        <f>D41*C41</f>
        <v>240000</v>
      </c>
    </row>
    <row r="42" spans="1:5">
      <c r="A42" s="35">
        <v>6</v>
      </c>
      <c r="B42" s="36" t="s">
        <v>37</v>
      </c>
      <c r="C42" s="35">
        <v>2</v>
      </c>
      <c r="D42" s="31">
        <v>2500</v>
      </c>
      <c r="E42" s="31">
        <f>D42*C42</f>
        <v>5000</v>
      </c>
    </row>
    <row r="43" spans="1:5">
      <c r="A43" s="35"/>
      <c r="B43" s="39" t="s">
        <v>30</v>
      </c>
      <c r="C43" s="35"/>
      <c r="D43" s="31"/>
      <c r="E43" s="31"/>
    </row>
    <row r="44" spans="1:5">
      <c r="A44" s="35">
        <v>7</v>
      </c>
      <c r="B44" s="28" t="s">
        <v>52</v>
      </c>
      <c r="C44" s="35">
        <v>8</v>
      </c>
      <c r="D44" s="31">
        <v>86000</v>
      </c>
      <c r="E44" s="31">
        <f>D44*C44</f>
        <v>688000</v>
      </c>
    </row>
    <row r="45" spans="1:5">
      <c r="A45" s="35">
        <v>8</v>
      </c>
      <c r="B45" s="36" t="s">
        <v>39</v>
      </c>
      <c r="C45" s="35">
        <v>6</v>
      </c>
      <c r="D45" s="31">
        <v>8500</v>
      </c>
      <c r="E45" s="31">
        <f>D45*C45</f>
        <v>51000</v>
      </c>
    </row>
    <row r="46" spans="1:5">
      <c r="A46" s="35">
        <v>9</v>
      </c>
      <c r="B46" s="28" t="s">
        <v>29</v>
      </c>
      <c r="C46" s="38">
        <v>8</v>
      </c>
      <c r="D46" s="31">
        <v>120000</v>
      </c>
      <c r="E46" s="31">
        <f>D46*C46</f>
        <v>960000</v>
      </c>
    </row>
    <row r="47" spans="1:5">
      <c r="A47" s="35">
        <v>10</v>
      </c>
      <c r="B47" s="36" t="s">
        <v>32</v>
      </c>
      <c r="C47" s="38">
        <v>6</v>
      </c>
      <c r="D47" s="31">
        <v>75000</v>
      </c>
      <c r="E47" s="31">
        <f t="shared" ref="E47:E48" si="4">D47*C47</f>
        <v>450000</v>
      </c>
    </row>
    <row r="48" spans="1:5">
      <c r="A48" s="35">
        <v>11</v>
      </c>
      <c r="B48" s="36" t="s">
        <v>31</v>
      </c>
      <c r="C48" s="38">
        <v>12</v>
      </c>
      <c r="D48" s="31">
        <v>5000</v>
      </c>
      <c r="E48" s="31">
        <f t="shared" si="4"/>
        <v>60000</v>
      </c>
    </row>
    <row r="49" spans="1:5">
      <c r="A49" s="35">
        <v>12</v>
      </c>
      <c r="B49" s="36" t="s">
        <v>37</v>
      </c>
      <c r="C49" s="35">
        <v>8</v>
      </c>
      <c r="D49" s="31">
        <v>2500</v>
      </c>
      <c r="E49" s="31">
        <f>D49*C49</f>
        <v>20000</v>
      </c>
    </row>
    <row r="50" spans="1:5" ht="15" customHeight="1">
      <c r="A50" s="35"/>
      <c r="B50" s="39" t="s">
        <v>53</v>
      </c>
      <c r="C50" s="35"/>
      <c r="D50" s="31"/>
      <c r="E50" s="31"/>
    </row>
    <row r="51" spans="1:5" ht="15" customHeight="1">
      <c r="A51" s="35">
        <v>13</v>
      </c>
      <c r="B51" s="36" t="s">
        <v>54</v>
      </c>
      <c r="C51" s="35">
        <v>1</v>
      </c>
      <c r="D51" s="31">
        <v>16000</v>
      </c>
      <c r="E51" s="31">
        <f>D51*C51</f>
        <v>16000</v>
      </c>
    </row>
    <row r="52" spans="1:5" ht="15" customHeight="1">
      <c r="A52" s="35">
        <v>14</v>
      </c>
      <c r="B52" s="36" t="s">
        <v>56</v>
      </c>
      <c r="C52" s="35">
        <v>1</v>
      </c>
      <c r="D52" s="31">
        <v>16000</v>
      </c>
      <c r="E52" s="31">
        <f>D52*C52</f>
        <v>16000</v>
      </c>
    </row>
    <row r="53" spans="1:5" ht="15" customHeight="1">
      <c r="A53" s="35">
        <v>15</v>
      </c>
      <c r="B53" s="36" t="s">
        <v>55</v>
      </c>
      <c r="C53" s="35">
        <v>1</v>
      </c>
      <c r="D53" s="31">
        <v>16000</v>
      </c>
      <c r="E53" s="31">
        <f>D53*C53</f>
        <v>16000</v>
      </c>
    </row>
    <row r="54" spans="1:5" ht="15" customHeight="1">
      <c r="A54" s="35">
        <v>16</v>
      </c>
      <c r="B54" s="36" t="s">
        <v>59</v>
      </c>
      <c r="C54" s="35">
        <v>8</v>
      </c>
      <c r="D54" s="31">
        <v>47000</v>
      </c>
      <c r="E54" s="31">
        <f>D54*C54</f>
        <v>376000</v>
      </c>
    </row>
    <row r="55" spans="1:5" ht="15" customHeight="1">
      <c r="A55" s="35">
        <v>17</v>
      </c>
      <c r="B55" s="36" t="s">
        <v>57</v>
      </c>
      <c r="C55" s="35">
        <v>8</v>
      </c>
      <c r="D55" s="31">
        <v>60000</v>
      </c>
      <c r="E55" s="31">
        <f>D55*C55</f>
        <v>480000</v>
      </c>
    </row>
    <row r="56" spans="1:5" ht="15" customHeight="1">
      <c r="A56" s="35">
        <v>18</v>
      </c>
      <c r="B56" s="36" t="s">
        <v>60</v>
      </c>
      <c r="C56" s="35">
        <v>4</v>
      </c>
      <c r="D56" s="31">
        <v>52000</v>
      </c>
      <c r="E56" s="31">
        <f>D56*C56</f>
        <v>208000</v>
      </c>
    </row>
    <row r="57" spans="1:5" ht="15" customHeight="1">
      <c r="A57" s="35">
        <v>19</v>
      </c>
      <c r="B57" s="36" t="s">
        <v>58</v>
      </c>
      <c r="C57" s="35">
        <v>4</v>
      </c>
      <c r="D57" s="31">
        <v>63000</v>
      </c>
      <c r="E57" s="31">
        <f>D57*C57</f>
        <v>252000</v>
      </c>
    </row>
    <row r="58" spans="1:5">
      <c r="A58" s="35">
        <v>20</v>
      </c>
      <c r="B58" s="36" t="s">
        <v>40</v>
      </c>
      <c r="C58" s="35">
        <v>3</v>
      </c>
      <c r="D58" s="31">
        <v>7000</v>
      </c>
      <c r="E58" s="31">
        <f>D58*C58</f>
        <v>21000</v>
      </c>
    </row>
    <row r="59" spans="1:5">
      <c r="D59" s="11" t="s">
        <v>4</v>
      </c>
      <c r="E59" s="32">
        <f>SUM(E38:E58)</f>
        <v>4502000</v>
      </c>
    </row>
    <row r="60" spans="1:5">
      <c r="D60" s="11"/>
      <c r="E60" s="29"/>
    </row>
    <row r="61" spans="1:5">
      <c r="D61" s="11"/>
      <c r="E61" s="29"/>
    </row>
    <row r="62" spans="1:5" ht="18">
      <c r="A62" s="22" t="s">
        <v>21</v>
      </c>
      <c r="B62" s="46" t="s">
        <v>61</v>
      </c>
      <c r="C62" s="4"/>
      <c r="D62" s="1"/>
      <c r="E62" s="2"/>
    </row>
    <row r="63" spans="1:5">
      <c r="A63" s="5"/>
      <c r="B63" s="5" t="s">
        <v>0</v>
      </c>
      <c r="C63" s="6" t="s">
        <v>1</v>
      </c>
      <c r="D63" s="7" t="s">
        <v>2</v>
      </c>
      <c r="E63" s="8" t="s">
        <v>3</v>
      </c>
    </row>
    <row r="64" spans="1:5">
      <c r="A64" s="25">
        <v>1</v>
      </c>
      <c r="B64" s="28" t="s">
        <v>38</v>
      </c>
      <c r="C64" s="38">
        <v>1</v>
      </c>
      <c r="D64" s="31">
        <v>175000</v>
      </c>
      <c r="E64" s="26">
        <f t="shared" ref="E64:E65" si="5">D64*C64</f>
        <v>175000</v>
      </c>
    </row>
    <row r="65" spans="1:5">
      <c r="A65" s="25">
        <v>2</v>
      </c>
      <c r="B65" s="36" t="s">
        <v>51</v>
      </c>
      <c r="C65" s="38">
        <v>1</v>
      </c>
      <c r="D65" s="31">
        <v>58000</v>
      </c>
      <c r="E65" s="26">
        <f t="shared" si="5"/>
        <v>58000</v>
      </c>
    </row>
    <row r="66" spans="1:5">
      <c r="A66" s="35">
        <v>3</v>
      </c>
      <c r="B66" s="28" t="s">
        <v>29</v>
      </c>
      <c r="C66" s="38">
        <v>1</v>
      </c>
      <c r="D66" s="31">
        <v>120000</v>
      </c>
      <c r="E66" s="31">
        <f>D66*C66</f>
        <v>120000</v>
      </c>
    </row>
    <row r="67" spans="1:5">
      <c r="A67" s="35">
        <v>4</v>
      </c>
      <c r="B67" s="36" t="s">
        <v>37</v>
      </c>
      <c r="C67" s="35">
        <v>1</v>
      </c>
      <c r="D67" s="31">
        <v>2500</v>
      </c>
      <c r="E67" s="31">
        <f>D67*C67</f>
        <v>2500</v>
      </c>
    </row>
    <row r="68" spans="1:5">
      <c r="A68" s="35"/>
      <c r="B68" s="39" t="s">
        <v>30</v>
      </c>
      <c r="C68" s="35"/>
      <c r="D68" s="31"/>
      <c r="E68" s="31"/>
    </row>
    <row r="69" spans="1:5">
      <c r="A69" s="35">
        <v>5</v>
      </c>
      <c r="B69" s="28" t="s">
        <v>52</v>
      </c>
      <c r="C69" s="35">
        <v>8</v>
      </c>
      <c r="D69" s="31">
        <v>86000</v>
      </c>
      <c r="E69" s="31">
        <f>D69*C69</f>
        <v>688000</v>
      </c>
    </row>
    <row r="70" spans="1:5">
      <c r="A70" s="35">
        <v>6</v>
      </c>
      <c r="B70" s="36" t="s">
        <v>62</v>
      </c>
      <c r="C70" s="35">
        <v>1</v>
      </c>
      <c r="D70" s="31">
        <v>100000</v>
      </c>
      <c r="E70" s="31">
        <f>D70*C70</f>
        <v>100000</v>
      </c>
    </row>
    <row r="71" spans="1:5">
      <c r="A71" s="35">
        <v>7</v>
      </c>
      <c r="B71" s="36" t="s">
        <v>39</v>
      </c>
      <c r="C71" s="35">
        <v>7</v>
      </c>
      <c r="D71" s="31">
        <v>8500</v>
      </c>
      <c r="E71" s="31">
        <f>D71*C71</f>
        <v>59500</v>
      </c>
    </row>
    <row r="72" spans="1:5">
      <c r="A72" s="35">
        <v>8</v>
      </c>
      <c r="B72" s="28" t="s">
        <v>29</v>
      </c>
      <c r="C72" s="38">
        <v>8</v>
      </c>
      <c r="D72" s="31">
        <v>120000</v>
      </c>
      <c r="E72" s="31">
        <f>D72*C72</f>
        <v>960000</v>
      </c>
    </row>
    <row r="73" spans="1:5">
      <c r="A73" s="35">
        <v>9</v>
      </c>
      <c r="B73" s="36" t="s">
        <v>32</v>
      </c>
      <c r="C73" s="38">
        <v>7</v>
      </c>
      <c r="D73" s="31">
        <v>75000</v>
      </c>
      <c r="E73" s="31">
        <f t="shared" ref="E73:E74" si="6">D73*C73</f>
        <v>525000</v>
      </c>
    </row>
    <row r="74" spans="1:5">
      <c r="A74" s="35">
        <v>10</v>
      </c>
      <c r="B74" s="36" t="s">
        <v>31</v>
      </c>
      <c r="C74" s="38">
        <v>14</v>
      </c>
      <c r="D74" s="31">
        <v>5000</v>
      </c>
      <c r="E74" s="31">
        <f t="shared" si="6"/>
        <v>70000</v>
      </c>
    </row>
    <row r="75" spans="1:5">
      <c r="A75" s="35">
        <v>11</v>
      </c>
      <c r="B75" s="36" t="s">
        <v>37</v>
      </c>
      <c r="C75" s="35">
        <v>8</v>
      </c>
      <c r="D75" s="31">
        <v>2500</v>
      </c>
      <c r="E75" s="31">
        <f>D75*C75</f>
        <v>20000</v>
      </c>
    </row>
    <row r="76" spans="1:5">
      <c r="A76" s="35"/>
      <c r="B76" s="39" t="s">
        <v>53</v>
      </c>
      <c r="C76" s="35"/>
      <c r="D76" s="31"/>
      <c r="E76" s="31"/>
    </row>
    <row r="77" spans="1:5">
      <c r="A77" s="35">
        <v>12</v>
      </c>
      <c r="B77" s="36" t="s">
        <v>54</v>
      </c>
      <c r="C77" s="35">
        <v>1</v>
      </c>
      <c r="D77" s="31">
        <v>16000</v>
      </c>
      <c r="E77" s="31">
        <f>D77*C77</f>
        <v>16000</v>
      </c>
    </row>
    <row r="78" spans="1:5">
      <c r="A78" s="35">
        <v>13</v>
      </c>
      <c r="B78" s="36" t="s">
        <v>56</v>
      </c>
      <c r="C78" s="35">
        <v>1</v>
      </c>
      <c r="D78" s="31">
        <v>16000</v>
      </c>
      <c r="E78" s="31">
        <f>D78*C78</f>
        <v>16000</v>
      </c>
    </row>
    <row r="79" spans="1:5">
      <c r="A79" s="35">
        <v>14</v>
      </c>
      <c r="B79" s="36" t="s">
        <v>59</v>
      </c>
      <c r="C79" s="35">
        <v>5</v>
      </c>
      <c r="D79" s="31">
        <v>47000</v>
      </c>
      <c r="E79" s="31">
        <f>D79*C79</f>
        <v>235000</v>
      </c>
    </row>
    <row r="80" spans="1:5">
      <c r="A80" s="35">
        <v>15</v>
      </c>
      <c r="B80" s="36" t="s">
        <v>57</v>
      </c>
      <c r="C80" s="35">
        <v>5</v>
      </c>
      <c r="D80" s="31">
        <v>60000</v>
      </c>
      <c r="E80" s="31">
        <f>D80*C80</f>
        <v>300000</v>
      </c>
    </row>
    <row r="81" spans="1:5">
      <c r="A81" s="35">
        <v>16</v>
      </c>
      <c r="B81" s="36" t="s">
        <v>60</v>
      </c>
      <c r="C81" s="35">
        <v>4</v>
      </c>
      <c r="D81" s="31">
        <v>52000</v>
      </c>
      <c r="E81" s="31">
        <f>D81*C81</f>
        <v>208000</v>
      </c>
    </row>
    <row r="82" spans="1:5">
      <c r="A82" s="35">
        <v>17</v>
      </c>
      <c r="B82" s="36" t="s">
        <v>58</v>
      </c>
      <c r="C82" s="35">
        <v>4</v>
      </c>
      <c r="D82" s="31">
        <v>63000</v>
      </c>
      <c r="E82" s="31">
        <f>D82*C82</f>
        <v>252000</v>
      </c>
    </row>
    <row r="83" spans="1:5">
      <c r="A83" s="35">
        <v>18</v>
      </c>
      <c r="B83" s="36" t="s">
        <v>40</v>
      </c>
      <c r="C83" s="35">
        <v>2</v>
      </c>
      <c r="D83" s="31">
        <v>7000</v>
      </c>
      <c r="E83" s="31">
        <f>D83*C83</f>
        <v>14000</v>
      </c>
    </row>
    <row r="84" spans="1:5">
      <c r="D84" s="11" t="s">
        <v>4</v>
      </c>
      <c r="E84" s="32">
        <f>SUM(E64:E83)</f>
        <v>3819000</v>
      </c>
    </row>
    <row r="85" spans="1:5">
      <c r="D85" s="11"/>
      <c r="E85" s="29"/>
    </row>
    <row r="86" spans="1:5" ht="18">
      <c r="A86" s="22" t="s">
        <v>21</v>
      </c>
      <c r="B86" s="46" t="s">
        <v>63</v>
      </c>
      <c r="C86" s="4"/>
      <c r="D86" s="1"/>
      <c r="E86" s="2"/>
    </row>
    <row r="87" spans="1:5">
      <c r="A87" s="5"/>
      <c r="B87" s="5" t="s">
        <v>0</v>
      </c>
      <c r="C87" s="6" t="s">
        <v>1</v>
      </c>
      <c r="D87" s="7" t="s">
        <v>2</v>
      </c>
      <c r="E87" s="8" t="s">
        <v>3</v>
      </c>
    </row>
    <row r="88" spans="1:5">
      <c r="A88" s="25">
        <v>1</v>
      </c>
      <c r="B88" s="28" t="s">
        <v>38</v>
      </c>
      <c r="C88" s="38">
        <v>1</v>
      </c>
      <c r="D88" s="31">
        <v>175000</v>
      </c>
      <c r="E88" s="26">
        <f t="shared" ref="E88:E89" si="7">D88*C88</f>
        <v>175000</v>
      </c>
    </row>
    <row r="89" spans="1:5">
      <c r="A89" s="25">
        <v>2</v>
      </c>
      <c r="B89" s="36" t="s">
        <v>51</v>
      </c>
      <c r="C89" s="38">
        <v>1</v>
      </c>
      <c r="D89" s="31">
        <v>58000</v>
      </c>
      <c r="E89" s="26">
        <f t="shared" si="7"/>
        <v>58000</v>
      </c>
    </row>
    <row r="90" spans="1:5">
      <c r="A90" s="35">
        <v>4</v>
      </c>
      <c r="B90" s="28" t="s">
        <v>29</v>
      </c>
      <c r="C90" s="38">
        <v>1</v>
      </c>
      <c r="D90" s="31">
        <v>120000</v>
      </c>
      <c r="E90" s="31">
        <f>D90*C90</f>
        <v>120000</v>
      </c>
    </row>
    <row r="91" spans="1:5">
      <c r="A91" s="35">
        <v>6</v>
      </c>
      <c r="B91" s="36" t="s">
        <v>37</v>
      </c>
      <c r="C91" s="35">
        <v>1</v>
      </c>
      <c r="D91" s="31">
        <v>2500</v>
      </c>
      <c r="E91" s="31">
        <f>D91*C91</f>
        <v>2500</v>
      </c>
    </row>
    <row r="92" spans="1:5">
      <c r="A92" s="35"/>
      <c r="B92" s="39" t="s">
        <v>30</v>
      </c>
      <c r="C92" s="35"/>
      <c r="D92" s="31"/>
      <c r="E92" s="31"/>
    </row>
    <row r="93" spans="1:5">
      <c r="A93" s="35">
        <v>7</v>
      </c>
      <c r="B93" s="28" t="s">
        <v>52</v>
      </c>
      <c r="C93" s="35">
        <v>8</v>
      </c>
      <c r="D93" s="31">
        <v>86000</v>
      </c>
      <c r="E93" s="31">
        <f>D93*C93</f>
        <v>688000</v>
      </c>
    </row>
    <row r="94" spans="1:5">
      <c r="A94" s="35">
        <v>8</v>
      </c>
      <c r="B94" s="36" t="s">
        <v>39</v>
      </c>
      <c r="C94" s="35">
        <v>9</v>
      </c>
      <c r="D94" s="31">
        <v>8500</v>
      </c>
      <c r="E94" s="31">
        <f>D94*C94</f>
        <v>76500</v>
      </c>
    </row>
    <row r="95" spans="1:5">
      <c r="A95" s="35">
        <v>9</v>
      </c>
      <c r="B95" s="28" t="s">
        <v>29</v>
      </c>
      <c r="C95" s="38">
        <v>8</v>
      </c>
      <c r="D95" s="31">
        <v>120000</v>
      </c>
      <c r="E95" s="31">
        <f>D95*C95</f>
        <v>960000</v>
      </c>
    </row>
    <row r="96" spans="1:5">
      <c r="A96" s="35">
        <v>10</v>
      </c>
      <c r="B96" s="36" t="s">
        <v>32</v>
      </c>
      <c r="C96" s="38">
        <v>5</v>
      </c>
      <c r="D96" s="31">
        <v>75000</v>
      </c>
      <c r="E96" s="31">
        <f t="shared" ref="E96:E97" si="8">D96*C96</f>
        <v>375000</v>
      </c>
    </row>
    <row r="97" spans="1:5">
      <c r="A97" s="35">
        <v>11</v>
      </c>
      <c r="B97" s="36" t="s">
        <v>31</v>
      </c>
      <c r="C97" s="38">
        <v>10</v>
      </c>
      <c r="D97" s="31">
        <v>5000</v>
      </c>
      <c r="E97" s="31">
        <f t="shared" si="8"/>
        <v>50000</v>
      </c>
    </row>
    <row r="98" spans="1:5">
      <c r="A98" s="35">
        <v>12</v>
      </c>
      <c r="B98" s="36" t="s">
        <v>37</v>
      </c>
      <c r="C98" s="35">
        <v>8</v>
      </c>
      <c r="D98" s="31">
        <v>2500</v>
      </c>
      <c r="E98" s="31">
        <f>D98*C98</f>
        <v>20000</v>
      </c>
    </row>
    <row r="99" spans="1:5">
      <c r="A99" s="35"/>
      <c r="B99" s="39" t="s">
        <v>53</v>
      </c>
      <c r="C99" s="35"/>
      <c r="D99" s="31"/>
      <c r="E99" s="31"/>
    </row>
    <row r="100" spans="1:5">
      <c r="A100" s="35">
        <v>13</v>
      </c>
      <c r="B100" s="36" t="s">
        <v>54</v>
      </c>
      <c r="C100" s="35">
        <v>2</v>
      </c>
      <c r="D100" s="31">
        <v>16000</v>
      </c>
      <c r="E100" s="31">
        <f>D100*C100</f>
        <v>32000</v>
      </c>
    </row>
    <row r="101" spans="1:5">
      <c r="A101" s="35"/>
      <c r="B101" s="36" t="s">
        <v>55</v>
      </c>
      <c r="C101" s="35">
        <v>1</v>
      </c>
      <c r="D101" s="31">
        <v>16000</v>
      </c>
      <c r="E101" s="31">
        <f>D101*C101</f>
        <v>16000</v>
      </c>
    </row>
    <row r="102" spans="1:5">
      <c r="A102" s="35">
        <v>14</v>
      </c>
      <c r="B102" s="36" t="s">
        <v>56</v>
      </c>
      <c r="C102" s="35">
        <v>1</v>
      </c>
      <c r="D102" s="31">
        <v>16000</v>
      </c>
      <c r="E102" s="31">
        <f>D102*C102</f>
        <v>16000</v>
      </c>
    </row>
    <row r="103" spans="1:5">
      <c r="A103" s="35">
        <v>16</v>
      </c>
      <c r="B103" s="36" t="s">
        <v>65</v>
      </c>
      <c r="C103" s="35">
        <v>4</v>
      </c>
      <c r="D103" s="31">
        <v>58000</v>
      </c>
      <c r="E103" s="31">
        <f>D103*C103</f>
        <v>232000</v>
      </c>
    </row>
    <row r="104" spans="1:5">
      <c r="A104" s="35">
        <v>17</v>
      </c>
      <c r="B104" s="36" t="s">
        <v>64</v>
      </c>
      <c r="C104" s="35">
        <v>4</v>
      </c>
      <c r="D104" s="31">
        <v>63000</v>
      </c>
      <c r="E104" s="31">
        <f>D104*C104</f>
        <v>252000</v>
      </c>
    </row>
    <row r="105" spans="1:5">
      <c r="A105" s="35">
        <v>18</v>
      </c>
      <c r="B105" s="36" t="s">
        <v>66</v>
      </c>
      <c r="C105" s="35">
        <v>9</v>
      </c>
      <c r="D105" s="31">
        <v>54000</v>
      </c>
      <c r="E105" s="31">
        <f>D105*C105</f>
        <v>486000</v>
      </c>
    </row>
    <row r="106" spans="1:5">
      <c r="A106" s="35">
        <v>19</v>
      </c>
      <c r="B106" s="36" t="s">
        <v>67</v>
      </c>
      <c r="C106" s="35">
        <v>9</v>
      </c>
      <c r="D106" s="31">
        <v>67000</v>
      </c>
      <c r="E106" s="31">
        <f>D106*C106</f>
        <v>603000</v>
      </c>
    </row>
    <row r="107" spans="1:5">
      <c r="A107" s="35">
        <v>20</v>
      </c>
      <c r="B107" s="36" t="s">
        <v>40</v>
      </c>
      <c r="C107" s="35">
        <v>4</v>
      </c>
      <c r="D107" s="31">
        <v>7000</v>
      </c>
      <c r="E107" s="31">
        <f>D107*C107</f>
        <v>28000</v>
      </c>
    </row>
    <row r="108" spans="1:5">
      <c r="D108" s="11" t="s">
        <v>4</v>
      </c>
      <c r="E108" s="32">
        <f>SUM(E88:E107)</f>
        <v>4190000</v>
      </c>
    </row>
    <row r="109" spans="1:5">
      <c r="D109" s="11"/>
      <c r="E109" s="29"/>
    </row>
    <row r="110" spans="1:5">
      <c r="D110" s="11"/>
      <c r="E110" s="29"/>
    </row>
    <row r="111" spans="1:5" ht="18">
      <c r="A111" s="22" t="s">
        <v>21</v>
      </c>
      <c r="B111" s="46" t="s">
        <v>68</v>
      </c>
      <c r="C111" s="4"/>
      <c r="D111" s="1"/>
      <c r="E111" s="2"/>
    </row>
    <row r="112" spans="1:5">
      <c r="A112" s="5"/>
      <c r="B112" s="5" t="s">
        <v>0</v>
      </c>
      <c r="C112" s="6" t="s">
        <v>1</v>
      </c>
      <c r="D112" s="7" t="s">
        <v>2</v>
      </c>
      <c r="E112" s="8" t="s">
        <v>3</v>
      </c>
    </row>
    <row r="113" spans="1:5">
      <c r="A113" s="25">
        <v>1</v>
      </c>
      <c r="B113" s="28" t="s">
        <v>38</v>
      </c>
      <c r="C113" s="38">
        <v>1</v>
      </c>
      <c r="D113" s="31">
        <v>175000</v>
      </c>
      <c r="E113" s="26">
        <f t="shared" ref="E113:E114" si="9">D113*C113</f>
        <v>175000</v>
      </c>
    </row>
    <row r="114" spans="1:5">
      <c r="A114" s="25">
        <v>2</v>
      </c>
      <c r="B114" s="36" t="s">
        <v>51</v>
      </c>
      <c r="C114" s="38">
        <v>1</v>
      </c>
      <c r="D114" s="31">
        <v>58000</v>
      </c>
      <c r="E114" s="26">
        <f t="shared" si="9"/>
        <v>58000</v>
      </c>
    </row>
    <row r="115" spans="1:5">
      <c r="A115" s="35">
        <v>4</v>
      </c>
      <c r="B115" s="28" t="s">
        <v>29</v>
      </c>
      <c r="C115" s="38">
        <v>1</v>
      </c>
      <c r="D115" s="31">
        <v>120000</v>
      </c>
      <c r="E115" s="31">
        <f>D115*C115</f>
        <v>120000</v>
      </c>
    </row>
    <row r="116" spans="1:5">
      <c r="A116" s="35">
        <v>6</v>
      </c>
      <c r="B116" s="36" t="s">
        <v>37</v>
      </c>
      <c r="C116" s="35">
        <v>1</v>
      </c>
      <c r="D116" s="31">
        <v>2500</v>
      </c>
      <c r="E116" s="31">
        <f>D116*C116</f>
        <v>2500</v>
      </c>
    </row>
    <row r="117" spans="1:5">
      <c r="A117" s="35"/>
      <c r="B117" s="39" t="s">
        <v>30</v>
      </c>
      <c r="C117" s="35"/>
      <c r="D117" s="31"/>
      <c r="E117" s="31"/>
    </row>
    <row r="118" spans="1:5">
      <c r="A118" s="35">
        <v>7</v>
      </c>
      <c r="B118" s="28" t="s">
        <v>52</v>
      </c>
      <c r="C118" s="35">
        <v>5</v>
      </c>
      <c r="D118" s="31">
        <v>86000</v>
      </c>
      <c r="E118" s="31">
        <f>D118*C118</f>
        <v>430000</v>
      </c>
    </row>
    <row r="119" spans="1:5">
      <c r="A119" s="35">
        <v>8</v>
      </c>
      <c r="B119" s="36" t="s">
        <v>39</v>
      </c>
      <c r="C119" s="35">
        <v>6</v>
      </c>
      <c r="D119" s="31">
        <v>8500</v>
      </c>
      <c r="E119" s="31">
        <f>D119*C119</f>
        <v>51000</v>
      </c>
    </row>
    <row r="120" spans="1:5">
      <c r="A120" s="35">
        <v>9</v>
      </c>
      <c r="B120" s="28" t="s">
        <v>29</v>
      </c>
      <c r="C120" s="38">
        <v>5</v>
      </c>
      <c r="D120" s="31">
        <v>120000</v>
      </c>
      <c r="E120" s="31">
        <f>D120*C120</f>
        <v>600000</v>
      </c>
    </row>
    <row r="121" spans="1:5">
      <c r="A121" s="35">
        <v>10</v>
      </c>
      <c r="B121" s="36" t="s">
        <v>32</v>
      </c>
      <c r="C121" s="38">
        <v>3</v>
      </c>
      <c r="D121" s="31">
        <v>75000</v>
      </c>
      <c r="E121" s="31">
        <f t="shared" ref="E121:E122" si="10">D121*C121</f>
        <v>225000</v>
      </c>
    </row>
    <row r="122" spans="1:5">
      <c r="A122" s="35">
        <v>11</v>
      </c>
      <c r="B122" s="36" t="s">
        <v>31</v>
      </c>
      <c r="C122" s="38">
        <v>6</v>
      </c>
      <c r="D122" s="31">
        <v>5000</v>
      </c>
      <c r="E122" s="31">
        <f t="shared" si="10"/>
        <v>30000</v>
      </c>
    </row>
    <row r="123" spans="1:5">
      <c r="A123" s="35">
        <v>12</v>
      </c>
      <c r="B123" s="36" t="s">
        <v>37</v>
      </c>
      <c r="C123" s="35">
        <v>5</v>
      </c>
      <c r="D123" s="31">
        <v>2500</v>
      </c>
      <c r="E123" s="31">
        <f>D123*C123</f>
        <v>12500</v>
      </c>
    </row>
    <row r="124" spans="1:5">
      <c r="A124" s="35"/>
      <c r="B124" s="39" t="s">
        <v>53</v>
      </c>
      <c r="C124" s="35"/>
      <c r="D124" s="31"/>
      <c r="E124" s="31"/>
    </row>
    <row r="125" spans="1:5">
      <c r="A125" s="35">
        <v>16</v>
      </c>
      <c r="B125" s="36" t="s">
        <v>65</v>
      </c>
      <c r="C125" s="35">
        <v>2</v>
      </c>
      <c r="D125" s="31">
        <v>58000</v>
      </c>
      <c r="E125" s="31">
        <f>D125*C125</f>
        <v>116000</v>
      </c>
    </row>
    <row r="126" spans="1:5">
      <c r="A126" s="35">
        <v>17</v>
      </c>
      <c r="B126" s="36" t="s">
        <v>64</v>
      </c>
      <c r="C126" s="35">
        <v>2</v>
      </c>
      <c r="D126" s="31">
        <v>63000</v>
      </c>
      <c r="E126" s="31">
        <f>D126*C126</f>
        <v>126000</v>
      </c>
    </row>
    <row r="127" spans="1:5">
      <c r="A127" s="35">
        <v>20</v>
      </c>
      <c r="B127" s="36" t="s">
        <v>40</v>
      </c>
      <c r="C127" s="35">
        <v>1</v>
      </c>
      <c r="D127" s="31">
        <v>7000</v>
      </c>
      <c r="E127" s="31">
        <f>D127*C127</f>
        <v>7000</v>
      </c>
    </row>
    <row r="128" spans="1:5">
      <c r="D128" s="11" t="s">
        <v>4</v>
      </c>
      <c r="E128" s="32">
        <f>SUM(E113:E127)</f>
        <v>1953000</v>
      </c>
    </row>
    <row r="129" spans="1:6">
      <c r="D129" s="11"/>
      <c r="E129" s="29"/>
    </row>
    <row r="130" spans="1:6" ht="18">
      <c r="A130" s="22" t="s">
        <v>21</v>
      </c>
      <c r="B130" s="46" t="s">
        <v>69</v>
      </c>
      <c r="C130" s="4"/>
      <c r="D130" s="1"/>
      <c r="E130" s="2"/>
    </row>
    <row r="131" spans="1:6">
      <c r="A131" s="5"/>
      <c r="B131" s="5" t="s">
        <v>0</v>
      </c>
      <c r="C131" s="6" t="s">
        <v>1</v>
      </c>
      <c r="D131" s="7" t="s">
        <v>2</v>
      </c>
      <c r="E131" s="8" t="s">
        <v>3</v>
      </c>
    </row>
    <row r="132" spans="1:6">
      <c r="A132" s="35">
        <v>1</v>
      </c>
      <c r="B132" s="28" t="s">
        <v>70</v>
      </c>
      <c r="C132" s="35">
        <v>3</v>
      </c>
      <c r="D132" s="31">
        <v>50000</v>
      </c>
      <c r="E132" s="31">
        <f>D132*C132</f>
        <v>150000</v>
      </c>
    </row>
    <row r="133" spans="1:6">
      <c r="A133" s="35">
        <v>2</v>
      </c>
      <c r="B133" s="28" t="s">
        <v>71</v>
      </c>
      <c r="C133" s="35">
        <v>3</v>
      </c>
      <c r="D133" s="31">
        <v>58000</v>
      </c>
      <c r="E133" s="31">
        <f>D133*C133</f>
        <v>174000</v>
      </c>
    </row>
    <row r="134" spans="1:6">
      <c r="A134" s="35">
        <v>3</v>
      </c>
      <c r="B134" s="28" t="s">
        <v>72</v>
      </c>
      <c r="C134" s="35">
        <v>1</v>
      </c>
      <c r="D134" s="31">
        <v>92000</v>
      </c>
      <c r="E134" s="31">
        <f>D134*C134</f>
        <v>92000</v>
      </c>
    </row>
    <row r="135" spans="1:6">
      <c r="A135" s="35">
        <v>4</v>
      </c>
      <c r="B135" s="28" t="s">
        <v>73</v>
      </c>
      <c r="C135" s="35">
        <v>1</v>
      </c>
      <c r="D135" s="31">
        <v>144000</v>
      </c>
      <c r="E135" s="31">
        <f>D135*C135</f>
        <v>144000</v>
      </c>
    </row>
    <row r="136" spans="1:6">
      <c r="A136" s="35">
        <v>5</v>
      </c>
      <c r="B136" s="36" t="s">
        <v>39</v>
      </c>
      <c r="C136" s="35">
        <v>16</v>
      </c>
      <c r="D136" s="31">
        <v>8500</v>
      </c>
      <c r="E136" s="31">
        <f>D136*C136</f>
        <v>136000</v>
      </c>
    </row>
    <row r="137" spans="1:6">
      <c r="A137" s="35">
        <v>6</v>
      </c>
      <c r="B137" s="36" t="s">
        <v>37</v>
      </c>
      <c r="C137" s="35">
        <v>8</v>
      </c>
      <c r="D137" s="31">
        <v>2500</v>
      </c>
      <c r="E137" s="31">
        <f>D137*C137</f>
        <v>20000</v>
      </c>
    </row>
    <row r="138" spans="1:6">
      <c r="A138" s="35"/>
      <c r="B138" s="39" t="s">
        <v>53</v>
      </c>
      <c r="C138" s="35"/>
      <c r="D138" s="31"/>
      <c r="E138" s="31"/>
    </row>
    <row r="139" spans="1:6">
      <c r="A139" s="35">
        <v>7</v>
      </c>
      <c r="B139" s="36" t="s">
        <v>54</v>
      </c>
      <c r="C139" s="35">
        <v>1</v>
      </c>
      <c r="D139" s="31">
        <v>16000</v>
      </c>
      <c r="E139" s="31">
        <f>D139*C139</f>
        <v>16000</v>
      </c>
    </row>
    <row r="140" spans="1:6">
      <c r="A140" s="35">
        <v>8</v>
      </c>
      <c r="B140" s="36" t="s">
        <v>56</v>
      </c>
      <c r="C140" s="35">
        <v>1</v>
      </c>
      <c r="D140" s="31">
        <v>16000</v>
      </c>
      <c r="E140" s="31">
        <f>D140*C140</f>
        <v>16000</v>
      </c>
    </row>
    <row r="141" spans="1:6">
      <c r="A141" s="35">
        <v>9</v>
      </c>
      <c r="B141" s="36" t="s">
        <v>76</v>
      </c>
      <c r="C141" s="35">
        <v>3</v>
      </c>
      <c r="D141" s="31">
        <v>52000</v>
      </c>
      <c r="E141" s="31">
        <f>D141*C141</f>
        <v>156000</v>
      </c>
    </row>
    <row r="142" spans="1:6">
      <c r="A142" s="35">
        <v>10</v>
      </c>
      <c r="B142" s="36" t="s">
        <v>77</v>
      </c>
      <c r="C142" s="35">
        <v>3</v>
      </c>
      <c r="D142" s="31">
        <v>63000</v>
      </c>
      <c r="E142" s="31">
        <f>D142*C142</f>
        <v>189000</v>
      </c>
    </row>
    <row r="143" spans="1:6">
      <c r="A143" s="35">
        <v>11</v>
      </c>
      <c r="B143" s="36" t="s">
        <v>74</v>
      </c>
      <c r="C143" s="35">
        <v>4</v>
      </c>
      <c r="D143" s="31">
        <v>54000</v>
      </c>
      <c r="E143" s="31">
        <f>D143*C143</f>
        <v>216000</v>
      </c>
    </row>
    <row r="144" spans="1:6">
      <c r="A144" s="35">
        <v>12</v>
      </c>
      <c r="B144" s="36" t="s">
        <v>75</v>
      </c>
      <c r="C144" s="35">
        <v>4</v>
      </c>
      <c r="D144" s="31">
        <v>67000</v>
      </c>
      <c r="E144" s="31">
        <f>D144*C144</f>
        <v>268000</v>
      </c>
      <c r="F144" s="49"/>
    </row>
    <row r="145" spans="1:5">
      <c r="A145" s="35">
        <v>13</v>
      </c>
      <c r="B145" s="36" t="s">
        <v>40</v>
      </c>
      <c r="C145" s="35">
        <v>1</v>
      </c>
      <c r="D145" s="31">
        <v>7000</v>
      </c>
      <c r="E145" s="31">
        <f>D145*C145</f>
        <v>7000</v>
      </c>
    </row>
    <row r="146" spans="1:5">
      <c r="D146" s="11" t="s">
        <v>4</v>
      </c>
      <c r="E146" s="32">
        <f>SUM(E132:E145)</f>
        <v>1584000</v>
      </c>
    </row>
    <row r="147" spans="1:5">
      <c r="D147" s="11"/>
      <c r="E147" s="29"/>
    </row>
    <row r="148" spans="1:5">
      <c r="D148" s="11"/>
      <c r="E148" s="29"/>
    </row>
    <row r="149" spans="1:5" ht="18">
      <c r="A149" s="22" t="s">
        <v>21</v>
      </c>
      <c r="B149" s="46" t="s">
        <v>41</v>
      </c>
      <c r="C149" s="4"/>
      <c r="D149" s="1"/>
      <c r="E149" s="2"/>
    </row>
    <row r="150" spans="1:5">
      <c r="A150" s="5"/>
      <c r="B150" s="5" t="s">
        <v>0</v>
      </c>
      <c r="C150" s="6" t="s">
        <v>1</v>
      </c>
      <c r="D150" s="7" t="s">
        <v>2</v>
      </c>
      <c r="E150" s="8" t="s">
        <v>3</v>
      </c>
    </row>
    <row r="151" spans="1:5">
      <c r="A151" s="35">
        <v>1</v>
      </c>
      <c r="B151" s="41" t="s">
        <v>78</v>
      </c>
      <c r="C151" s="35">
        <v>1</v>
      </c>
      <c r="D151" s="31">
        <v>597860</v>
      </c>
      <c r="E151" s="31">
        <f>D151*C151</f>
        <v>597860</v>
      </c>
    </row>
    <row r="152" spans="1:5">
      <c r="A152" s="35">
        <v>2</v>
      </c>
      <c r="B152" s="41" t="s">
        <v>42</v>
      </c>
      <c r="C152" s="35">
        <v>1</v>
      </c>
      <c r="D152" s="31">
        <v>142000</v>
      </c>
      <c r="E152" s="31">
        <f>D152*C152</f>
        <v>142000</v>
      </c>
    </row>
    <row r="153" spans="1:5">
      <c r="A153" s="35">
        <v>3</v>
      </c>
      <c r="B153" s="41" t="s">
        <v>79</v>
      </c>
      <c r="C153" s="35">
        <v>1</v>
      </c>
      <c r="D153" s="31">
        <v>50000</v>
      </c>
      <c r="E153" s="31">
        <f>D153*C153</f>
        <v>50000</v>
      </c>
    </row>
    <row r="154" spans="1:5">
      <c r="A154" s="35">
        <v>4</v>
      </c>
      <c r="B154" s="36" t="s">
        <v>29</v>
      </c>
      <c r="C154" s="35">
        <v>1</v>
      </c>
      <c r="D154" s="31">
        <v>120000</v>
      </c>
      <c r="E154" s="31">
        <f>D154*C154</f>
        <v>120000</v>
      </c>
    </row>
    <row r="155" spans="1:5">
      <c r="A155" s="35">
        <v>5</v>
      </c>
      <c r="B155" s="36" t="s">
        <v>80</v>
      </c>
      <c r="C155" s="35">
        <v>2</v>
      </c>
      <c r="D155" s="31">
        <v>8500</v>
      </c>
      <c r="E155" s="31">
        <f>D155*C155</f>
        <v>17000</v>
      </c>
    </row>
    <row r="156" spans="1:5">
      <c r="A156" s="35">
        <v>6</v>
      </c>
      <c r="B156" s="36" t="s">
        <v>36</v>
      </c>
      <c r="C156" s="35">
        <v>1</v>
      </c>
      <c r="D156" s="31">
        <v>2500</v>
      </c>
      <c r="E156" s="31">
        <f>D156*C156</f>
        <v>2500</v>
      </c>
    </row>
    <row r="157" spans="1:5">
      <c r="A157" s="35">
        <v>7</v>
      </c>
      <c r="B157" s="36" t="s">
        <v>81</v>
      </c>
      <c r="C157" s="35">
        <v>3</v>
      </c>
      <c r="D157" s="31">
        <v>320622</v>
      </c>
      <c r="E157" s="31">
        <f>D157*C157</f>
        <v>961866</v>
      </c>
    </row>
    <row r="158" spans="1:5">
      <c r="D158" s="11" t="s">
        <v>4</v>
      </c>
      <c r="E158" s="32">
        <f>SUM(E151:E157)</f>
        <v>1891226</v>
      </c>
    </row>
    <row r="159" spans="1:5">
      <c r="D159" s="11"/>
      <c r="E159" s="29"/>
    </row>
    <row r="160" spans="1:5">
      <c r="D160" s="11"/>
      <c r="E160" s="29"/>
    </row>
    <row r="161" spans="1:5" ht="18">
      <c r="A161" s="22" t="s">
        <v>21</v>
      </c>
      <c r="B161" s="46" t="s">
        <v>82</v>
      </c>
      <c r="C161" s="4"/>
      <c r="D161" s="1"/>
      <c r="E161" s="2"/>
    </row>
    <row r="162" spans="1:5">
      <c r="A162" s="5"/>
      <c r="B162" s="5" t="s">
        <v>0</v>
      </c>
      <c r="C162" s="6" t="s">
        <v>1</v>
      </c>
      <c r="D162" s="7" t="s">
        <v>2</v>
      </c>
      <c r="E162" s="8" t="s">
        <v>3</v>
      </c>
    </row>
    <row r="163" spans="1:5">
      <c r="A163" s="35">
        <v>3</v>
      </c>
      <c r="B163" s="41" t="s">
        <v>83</v>
      </c>
      <c r="C163" s="35">
        <v>2</v>
      </c>
      <c r="D163" s="31">
        <v>67000</v>
      </c>
      <c r="E163" s="31">
        <f>D163*C163</f>
        <v>134000</v>
      </c>
    </row>
    <row r="164" spans="1:5">
      <c r="A164" s="35">
        <v>4</v>
      </c>
      <c r="B164" s="36" t="s">
        <v>39</v>
      </c>
      <c r="C164" s="35">
        <v>5</v>
      </c>
      <c r="D164" s="31">
        <v>8500</v>
      </c>
      <c r="E164" s="31">
        <f>D164*C164</f>
        <v>42500</v>
      </c>
    </row>
    <row r="165" spans="1:5">
      <c r="A165" s="35">
        <v>5</v>
      </c>
      <c r="B165" s="36" t="s">
        <v>80</v>
      </c>
      <c r="C165" s="35">
        <v>1</v>
      </c>
      <c r="D165" s="31">
        <v>177000</v>
      </c>
      <c r="E165" s="31">
        <f>D165*C165</f>
        <v>177000</v>
      </c>
    </row>
    <row r="166" spans="1:5">
      <c r="A166" s="35"/>
      <c r="B166" s="47" t="s">
        <v>85</v>
      </c>
      <c r="C166" s="35">
        <v>2</v>
      </c>
      <c r="D166" s="42">
        <v>74046</v>
      </c>
      <c r="E166" s="31">
        <f>D166*C166</f>
        <v>148092</v>
      </c>
    </row>
    <row r="167" spans="1:5">
      <c r="A167" s="35">
        <v>6</v>
      </c>
      <c r="B167" s="36" t="s">
        <v>86</v>
      </c>
      <c r="C167" s="35">
        <v>1</v>
      </c>
      <c r="D167" s="31">
        <v>75000</v>
      </c>
      <c r="E167" s="31">
        <f>D167*C167</f>
        <v>75000</v>
      </c>
    </row>
    <row r="168" spans="1:5">
      <c r="A168" s="35">
        <v>7</v>
      </c>
      <c r="B168" s="36" t="s">
        <v>84</v>
      </c>
      <c r="C168" s="35">
        <v>1</v>
      </c>
      <c r="D168" s="31">
        <v>511844</v>
      </c>
      <c r="E168" s="31">
        <f>D168*C168</f>
        <v>511844</v>
      </c>
    </row>
    <row r="169" spans="1:5">
      <c r="A169" s="35"/>
      <c r="B169" s="47" t="s">
        <v>87</v>
      </c>
      <c r="C169" s="35">
        <v>4</v>
      </c>
      <c r="D169" s="42">
        <v>32893</v>
      </c>
      <c r="E169" s="31">
        <f>D169*C169</f>
        <v>131572</v>
      </c>
    </row>
    <row r="170" spans="1:5">
      <c r="D170" s="11" t="s">
        <v>4</v>
      </c>
      <c r="E170" s="32">
        <f>SUM(E163:E169)</f>
        <v>1220008</v>
      </c>
    </row>
    <row r="171" spans="1:5">
      <c r="D171" s="11"/>
      <c r="E171" s="29"/>
    </row>
    <row r="172" spans="1:5">
      <c r="D172" s="11"/>
      <c r="E172" s="29"/>
    </row>
    <row r="173" spans="1:5">
      <c r="D173" s="11"/>
      <c r="E173" s="29"/>
    </row>
    <row r="174" spans="1:5" ht="18">
      <c r="A174" s="22" t="s">
        <v>21</v>
      </c>
      <c r="B174" s="46" t="s">
        <v>43</v>
      </c>
      <c r="C174" s="4"/>
      <c r="D174" s="1"/>
      <c r="E174" s="2"/>
    </row>
    <row r="175" spans="1:5">
      <c r="A175" s="5"/>
      <c r="B175" s="5" t="s">
        <v>0</v>
      </c>
      <c r="C175" s="6" t="s">
        <v>1</v>
      </c>
      <c r="D175" s="7" t="s">
        <v>2</v>
      </c>
      <c r="E175" s="8" t="s">
        <v>3</v>
      </c>
    </row>
    <row r="176" spans="1:5" ht="25.5">
      <c r="A176" s="25">
        <v>1</v>
      </c>
      <c r="B176" s="43" t="s">
        <v>88</v>
      </c>
      <c r="C176" s="48">
        <v>1</v>
      </c>
      <c r="D176" s="26">
        <v>1550000</v>
      </c>
      <c r="E176" s="26">
        <f t="shared" ref="E176:E178" si="11">D176*C176</f>
        <v>1550000</v>
      </c>
    </row>
    <row r="177" spans="1:5">
      <c r="A177" s="25">
        <v>2</v>
      </c>
      <c r="B177" s="43" t="s">
        <v>89</v>
      </c>
      <c r="C177" s="30">
        <v>1</v>
      </c>
      <c r="D177" s="26">
        <v>195000</v>
      </c>
      <c r="E177" s="26">
        <f t="shared" si="11"/>
        <v>195000</v>
      </c>
    </row>
    <row r="178" spans="1:5">
      <c r="A178" s="35">
        <v>3</v>
      </c>
      <c r="B178" s="36" t="s">
        <v>80</v>
      </c>
      <c r="C178" s="35">
        <v>1</v>
      </c>
      <c r="D178" s="42">
        <v>177000</v>
      </c>
      <c r="E178" s="31">
        <f t="shared" si="11"/>
        <v>177000</v>
      </c>
    </row>
    <row r="179" spans="1:5">
      <c r="D179" s="11" t="s">
        <v>4</v>
      </c>
      <c r="E179" s="32">
        <f>SUM(E176:E178)</f>
        <v>1922000</v>
      </c>
    </row>
    <row r="180" spans="1:5">
      <c r="B180" s="16" t="s">
        <v>9</v>
      </c>
      <c r="D180" s="11"/>
      <c r="E180" s="29"/>
    </row>
    <row r="181" spans="1:5">
      <c r="B181" s="17" t="s">
        <v>14</v>
      </c>
      <c r="D181" s="12" t="s">
        <v>4</v>
      </c>
      <c r="E181" s="23">
        <f>SUM(E179+E170+E158+E146+E128+E108+E84+E59+E34+E25)</f>
        <v>23583234</v>
      </c>
    </row>
    <row r="182" spans="1:5">
      <c r="B182" s="17" t="s">
        <v>10</v>
      </c>
      <c r="D182" s="12" t="s">
        <v>25</v>
      </c>
      <c r="E182" s="23">
        <f>E181*15%</f>
        <v>3537485.1</v>
      </c>
    </row>
    <row r="183" spans="1:5">
      <c r="D183" s="33" t="s">
        <v>26</v>
      </c>
      <c r="E183" s="34">
        <f>E181-E182</f>
        <v>20045748.899999999</v>
      </c>
    </row>
    <row r="184" spans="1:5">
      <c r="B184" s="16" t="s">
        <v>12</v>
      </c>
      <c r="D184" s="12" t="s">
        <v>5</v>
      </c>
      <c r="E184" s="9">
        <f>E183*19%</f>
        <v>3808692.2909999997</v>
      </c>
    </row>
    <row r="185" spans="1:5">
      <c r="B185" s="17" t="s">
        <v>19</v>
      </c>
      <c r="D185" s="12" t="s">
        <v>6</v>
      </c>
      <c r="E185" s="9">
        <f>E183+E184</f>
        <v>23854441.191</v>
      </c>
    </row>
    <row r="186" spans="1:5">
      <c r="B186" s="17" t="s">
        <v>18</v>
      </c>
      <c r="D186" s="2"/>
      <c r="E186" s="2"/>
    </row>
    <row r="187" spans="1:5">
      <c r="D187" s="2"/>
      <c r="E187" s="2"/>
    </row>
    <row r="188" spans="1:5">
      <c r="B188" s="18" t="s">
        <v>11</v>
      </c>
      <c r="D188" s="2"/>
      <c r="E188" s="2"/>
    </row>
    <row r="189" spans="1:5">
      <c r="B189" s="17" t="s">
        <v>17</v>
      </c>
      <c r="D189" s="11"/>
      <c r="E189" s="29"/>
    </row>
    <row r="190" spans="1:5">
      <c r="B190" s="17" t="s">
        <v>15</v>
      </c>
    </row>
    <row r="191" spans="1:5">
      <c r="B191" s="17" t="s">
        <v>16</v>
      </c>
      <c r="D191" s="2"/>
      <c r="E191" s="2"/>
    </row>
    <row r="192" spans="1:5">
      <c r="B192" s="17" t="s">
        <v>20</v>
      </c>
      <c r="D192" s="2"/>
      <c r="E192" s="2"/>
    </row>
    <row r="193" spans="2:5">
      <c r="D193" s="2"/>
      <c r="E193" s="2"/>
    </row>
    <row r="194" spans="2:5">
      <c r="B194" s="19" t="s">
        <v>13</v>
      </c>
      <c r="D194" s="2"/>
      <c r="E194" s="2"/>
    </row>
    <row r="195" spans="2:5">
      <c r="B195" s="24" t="s">
        <v>22</v>
      </c>
      <c r="D195" s="2"/>
      <c r="E195" s="2"/>
    </row>
    <row r="196" spans="2:5">
      <c r="B196" s="24" t="s">
        <v>23</v>
      </c>
      <c r="D196" s="2"/>
      <c r="E196" s="2"/>
    </row>
    <row r="197" spans="2:5">
      <c r="B197" s="24" t="s">
        <v>24</v>
      </c>
      <c r="D197" s="2"/>
      <c r="E197" s="2"/>
    </row>
    <row r="198" spans="2:5">
      <c r="D198" s="2"/>
      <c r="E198" s="2"/>
    </row>
    <row r="199" spans="2:5">
      <c r="D199" s="2"/>
      <c r="E199" s="2"/>
    </row>
    <row r="209" spans="2:2">
      <c r="B209" s="20"/>
    </row>
  </sheetData>
  <mergeCells count="1">
    <mergeCell ref="B11:C11"/>
  </mergeCells>
  <phoneticPr fontId="6" type="noConversion"/>
  <pageMargins left="0.35433070866141736" right="0" top="0" bottom="0.19685039370078741" header="0" footer="0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honeticPr fontId="6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honeticPr fontId="6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ALFA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Montalba</dc:creator>
  <cp:lastModifiedBy>Loreto Herrera</cp:lastModifiedBy>
  <cp:lastPrinted>2013-02-08T14:29:03Z</cp:lastPrinted>
  <dcterms:created xsi:type="dcterms:W3CDTF">2008-06-02T21:21:13Z</dcterms:created>
  <dcterms:modified xsi:type="dcterms:W3CDTF">2013-03-02T14:26:55Z</dcterms:modified>
</cp:coreProperties>
</file>