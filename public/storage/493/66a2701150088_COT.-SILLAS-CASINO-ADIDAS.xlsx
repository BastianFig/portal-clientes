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 Ohffice 2\Desktop\OHFFICE\PROYECTOS\ADIDAS\"/>
    </mc:Choice>
  </mc:AlternateContent>
  <xr:revisionPtr revIDLastSave="0" documentId="13_ncr:1_{81B70A21-C82F-4D0A-93C6-20B63B9DB9E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GO" sheetId="4" r:id="rId1"/>
    <sheet name="VIVA" sheetId="3" r:id="rId2"/>
    <sheet name="STAY" sheetId="2" r:id="rId3"/>
    <sheet name="JOY" sheetId="1" r:id="rId4"/>
  </sheets>
  <definedNames>
    <definedName name="_xlnm.Print_Area" localSheetId="0">GO!$B$2:$G$51</definedName>
    <definedName name="_xlnm.Print_Area" localSheetId="3">JOY!$B$2:$G$51</definedName>
    <definedName name="_xlnm.Print_Area" localSheetId="2">STAY!$B$2:$G$51</definedName>
    <definedName name="_xlnm.Print_Area" localSheetId="1">VIVA!$B$2:$G$51</definedName>
  </definedNames>
  <calcPr calcId="191029"/>
</workbook>
</file>

<file path=xl/calcChain.xml><?xml version="1.0" encoding="utf-8"?>
<calcChain xmlns="http://schemas.openxmlformats.org/spreadsheetml/2006/main">
  <c r="G18" i="4" l="1"/>
  <c r="G19" i="4" s="1"/>
  <c r="G22" i="4" s="1"/>
  <c r="G18" i="3"/>
  <c r="G19" i="3" s="1"/>
  <c r="G22" i="3" s="1"/>
  <c r="G18" i="2"/>
  <c r="G19" i="2" s="1"/>
  <c r="G22" i="2" s="1"/>
  <c r="G23" i="4" l="1"/>
  <c r="G24" i="4" s="1"/>
  <c r="G27" i="4" s="1"/>
  <c r="G23" i="3"/>
  <c r="G24" i="3" s="1"/>
  <c r="G27" i="3" s="1"/>
  <c r="G24" i="2"/>
  <c r="G27" i="2" s="1"/>
  <c r="G23" i="2"/>
  <c r="G18" i="1"/>
  <c r="G28" i="4" l="1"/>
  <c r="G29" i="4" s="1"/>
  <c r="G28" i="3"/>
  <c r="G29" i="3" s="1"/>
  <c r="G28" i="2"/>
  <c r="G29" i="2" s="1"/>
  <c r="G19" i="1"/>
  <c r="G22" i="1" s="1"/>
  <c r="G23" i="1" l="1"/>
  <c r="G24" i="1" s="1"/>
  <c r="G27" i="1" s="1"/>
  <c r="G28" i="1" l="1"/>
  <c r="G29" i="1" s="1"/>
</calcChain>
</file>

<file path=xl/sharedStrings.xml><?xml version="1.0" encoding="utf-8"?>
<sst xmlns="http://schemas.openxmlformats.org/spreadsheetml/2006/main" count="200" uniqueCount="52">
  <si>
    <t>PROYECTO:</t>
  </si>
  <si>
    <t>CLIENTE:</t>
  </si>
  <si>
    <t>AVDA DEL PARQUE  5275 OF.104</t>
  </si>
  <si>
    <t>DIRECCION:</t>
  </si>
  <si>
    <t>TELEFONO 222482880</t>
  </si>
  <si>
    <t>ATENCION</t>
  </si>
  <si>
    <t>www.ohffice.cl</t>
  </si>
  <si>
    <t>FECHA:</t>
  </si>
  <si>
    <t>N°</t>
  </si>
  <si>
    <t>CÓDIGO</t>
  </si>
  <si>
    <t>DESCRIPCIÓN</t>
  </si>
  <si>
    <t>CANTIDAD</t>
  </si>
  <si>
    <t>TOTAL ($)</t>
  </si>
  <si>
    <t>TOTAL</t>
  </si>
  <si>
    <t>NETO</t>
  </si>
  <si>
    <t>Atte.</t>
  </si>
  <si>
    <t>OHFFICE SpA</t>
  </si>
  <si>
    <t>Av del Parque N° 5275, Of # 104, Huechuraba, Santiago</t>
  </si>
  <si>
    <t>Rut: 77.570.810-7</t>
  </si>
  <si>
    <t>Giro: Mobiliario de Oficina.</t>
  </si>
  <si>
    <t>Web: www.ohffice.cl</t>
  </si>
  <si>
    <t>IVA</t>
  </si>
  <si>
    <t>Paola Yanquez Castellanos</t>
  </si>
  <si>
    <t>Cel.: 961116599</t>
  </si>
  <si>
    <t>e-mail: paola.yanquez@ohffice.cl</t>
  </si>
  <si>
    <t>Teléfono: 02-2-2482880, Cel: 961116599</t>
  </si>
  <si>
    <t>ESTA COTIZACION TIENE 10 DIAS DE VALIDEZ</t>
  </si>
  <si>
    <t>FORMA DE PAGO 
PROYECTOS</t>
  </si>
  <si>
    <t>50% ANTICIPO</t>
  </si>
  <si>
    <t>40% PREVIO AL DESPACHO</t>
  </si>
  <si>
    <t xml:space="preserve">10% RECEPCIÓN FINAL </t>
  </si>
  <si>
    <t>PROYECTOS CON SOLO 
SILLAS</t>
  </si>
  <si>
    <t xml:space="preserve">50% RECEPCIÓN FINAL </t>
  </si>
  <si>
    <t>COTIZACION SILLAS</t>
  </si>
  <si>
    <t>ADIDAS</t>
  </si>
  <si>
    <t>Valentina Sadarangani</t>
  </si>
  <si>
    <t>COTIZACION SILLAS CASINO</t>
  </si>
  <si>
    <t>CONSIDERESE 40 DIAS DE IMPORTACION</t>
  </si>
  <si>
    <t>CONSIEDRESE 6 AÑOS DE GARANTIA POR DEFECTO DE FABRICA</t>
  </si>
  <si>
    <t>USD</t>
  </si>
  <si>
    <t>TOTAL FINAL</t>
  </si>
  <si>
    <t>FLETE</t>
  </si>
  <si>
    <t>INSTALACION</t>
  </si>
  <si>
    <t>DESCUENTO 20%</t>
  </si>
  <si>
    <t>CF4100805.935</t>
  </si>
  <si>
    <t>SILLA JOY (41008)</t>
  </si>
  <si>
    <t>CF3300601.995</t>
  </si>
  <si>
    <t>SILLA FIJA STAY (33106P)_ 4 PATAS_EST.CROMADA_COLORES</t>
  </si>
  <si>
    <t>CF3510837.927</t>
  </si>
  <si>
    <t>SILLA FIJA VIVA (35507P)_C/BRAZO</t>
  </si>
  <si>
    <t>CF3400601.906</t>
  </si>
  <si>
    <t>SILLA FIJA GO (34006A)_ BASE TRINEO_ EST. CROM_S/BRAZO_COLORES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</si>
</sst>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&quot;$&quot;\ #,##0"/>
    <numFmt numFmtId="166" formatCode="_-&quot;$&quot;* #,##0_-;\-&quot;$&quot;* #,##0_-;_-&quot;$&quot;* &quot;-&quot;_-;_-@_-"/>
    <numFmt numFmtId="167" formatCode="dd/mm/yyyy;@"/>
    <numFmt numFmtId="168" formatCode="_ [$$-340A]* #,##0_ ;_ [$$-340A]* \-#,##0_ ;_ [$$-340A]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u/>
      <sz val="10"/>
      <color theme="10"/>
      <name val="Calibri Light"/>
      <family val="2"/>
    </font>
    <font>
      <sz val="10"/>
      <name val="Calibri Light"/>
      <family val="2"/>
    </font>
    <font>
      <sz val="18"/>
      <color theme="1"/>
      <name val="Calibri Light"/>
      <family val="2"/>
    </font>
    <font>
      <b/>
      <sz val="11"/>
      <color theme="1"/>
      <name val="Calibri"/>
      <family val="2"/>
      <scheme val="minor"/>
    </font>
    <font>
      <b/>
      <sz val="12"/>
      <name val="Calibri Light"/>
      <family val="2"/>
    </font>
    <font>
      <sz val="12"/>
      <name val="Calibri Light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165" fontId="5" fillId="3" borderId="3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165" fontId="4" fillId="3" borderId="3" xfId="0" applyNumberFormat="1" applyFont="1" applyFill="1" applyBorder="1" applyAlignment="1">
      <alignment vertical="center"/>
    </xf>
    <xf numFmtId="15" fontId="5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7" fillId="2" borderId="8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4" fillId="2" borderId="9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5" fillId="3" borderId="10" xfId="0" applyFont="1" applyFill="1" applyBorder="1" applyAlignment="1">
      <alignment vertical="center"/>
    </xf>
    <xf numFmtId="0" fontId="3" fillId="2" borderId="10" xfId="0" applyFont="1" applyFill="1" applyBorder="1"/>
    <xf numFmtId="0" fontId="3" fillId="2" borderId="11" xfId="0" applyFont="1" applyFill="1" applyBorder="1"/>
    <xf numFmtId="15" fontId="5" fillId="3" borderId="5" xfId="0" applyNumberFormat="1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/>
    </xf>
    <xf numFmtId="1" fontId="10" fillId="5" borderId="4" xfId="0" applyNumberFormat="1" applyFont="1" applyFill="1" applyBorder="1" applyAlignment="1">
      <alignment horizontal="center" vertical="center"/>
    </xf>
    <xf numFmtId="167" fontId="10" fillId="5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5" fontId="10" fillId="5" borderId="4" xfId="0" applyNumberFormat="1" applyFont="1" applyFill="1" applyBorder="1" applyAlignment="1">
      <alignment horizontal="center" vertical="center"/>
    </xf>
    <xf numFmtId="165" fontId="10" fillId="2" borderId="4" xfId="1" applyNumberFormat="1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65" fontId="10" fillId="2" borderId="0" xfId="1" applyNumberFormat="1" applyFont="1" applyFill="1" applyBorder="1" applyAlignment="1">
      <alignment horizontal="right" vertical="center"/>
    </xf>
    <xf numFmtId="168" fontId="12" fillId="0" borderId="4" xfId="0" applyNumberFormat="1" applyFont="1" applyBorder="1"/>
    <xf numFmtId="0" fontId="15" fillId="0" borderId="4" xfId="0" applyFont="1" applyBorder="1"/>
    <xf numFmtId="0" fontId="15" fillId="7" borderId="4" xfId="0" applyFont="1" applyFill="1" applyBorder="1"/>
    <xf numFmtId="168" fontId="12" fillId="7" borderId="4" xfId="0" applyNumberFormat="1" applyFont="1" applyFill="1" applyBorder="1"/>
    <xf numFmtId="0" fontId="7" fillId="2" borderId="8" xfId="0" applyFont="1" applyFill="1" applyBorder="1" applyAlignment="1">
      <alignment horizontal="center" vertical="top"/>
    </xf>
    <xf numFmtId="1" fontId="11" fillId="2" borderId="4" xfId="0" applyNumberFormat="1" applyFont="1" applyFill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6" borderId="12" xfId="0" applyFont="1" applyFill="1" applyBorder="1" applyAlignment="1">
      <alignment vertical="top" wrapText="1"/>
    </xf>
    <xf numFmtId="0" fontId="14" fillId="2" borderId="12" xfId="0" applyFont="1" applyFill="1" applyBorder="1" applyAlignment="1">
      <alignment horizontal="center" vertical="top"/>
    </xf>
    <xf numFmtId="168" fontId="14" fillId="2" borderId="4" xfId="1" applyNumberFormat="1" applyFont="1" applyFill="1" applyBorder="1" applyAlignment="1">
      <alignment horizontal="right" vertical="top"/>
    </xf>
    <xf numFmtId="168" fontId="11" fillId="2" borderId="4" xfId="1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0" fillId="2" borderId="0" xfId="0" applyFill="1"/>
    <xf numFmtId="0" fontId="0" fillId="2" borderId="0" xfId="0" applyFill="1" applyAlignment="1">
      <alignment vertical="top"/>
    </xf>
    <xf numFmtId="165" fontId="0" fillId="2" borderId="0" xfId="0" applyNumberFormat="1" applyFill="1"/>
    <xf numFmtId="0" fontId="0" fillId="2" borderId="23" xfId="0" applyFill="1" applyBorder="1"/>
    <xf numFmtId="0" fontId="0" fillId="2" borderId="12" xfId="0" applyFill="1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9" fillId="2" borderId="22" xfId="0" applyFont="1" applyFill="1" applyBorder="1"/>
    <xf numFmtId="0" fontId="5" fillId="3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9" fillId="2" borderId="22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wrapText="1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12"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F2E0EB-95C3-4AD6-A5F1-B1EDEAAF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17</xdr:row>
      <xdr:rowOff>1847850</xdr:rowOff>
    </xdr:from>
    <xdr:to>
      <xdr:col>3</xdr:col>
      <xdr:colOff>2308225</xdr:colOff>
      <xdr:row>17</xdr:row>
      <xdr:rowOff>2324100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DAE1521D-6AE0-D218-B265-1FD4B20EB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5219700"/>
          <a:ext cx="222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17</xdr:row>
      <xdr:rowOff>914598</xdr:rowOff>
    </xdr:from>
    <xdr:to>
      <xdr:col>2</xdr:col>
      <xdr:colOff>1174954</xdr:colOff>
      <xdr:row>17</xdr:row>
      <xdr:rowOff>2324100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E7C267E-B5E0-06C0-8CBB-AE18CEC7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3050" y="4286448"/>
          <a:ext cx="1003504" cy="1409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FFA68B-E0CD-40F8-8B4F-DF4CAE685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17</xdr:row>
      <xdr:rowOff>666750</xdr:rowOff>
    </xdr:from>
    <xdr:to>
      <xdr:col>2</xdr:col>
      <xdr:colOff>1268638</xdr:colOff>
      <xdr:row>17</xdr:row>
      <xdr:rowOff>2305571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683F34-3832-74AE-8BB1-5353A1A44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4038600"/>
          <a:ext cx="1116238" cy="1638821"/>
        </a:xfrm>
        <a:prstGeom prst="rect">
          <a:avLst/>
        </a:prstGeom>
      </xdr:spPr>
    </xdr:pic>
    <xdr:clientData/>
  </xdr:twoCellAnchor>
  <xdr:twoCellAnchor>
    <xdr:from>
      <xdr:col>3</xdr:col>
      <xdr:colOff>47625</xdr:colOff>
      <xdr:row>17</xdr:row>
      <xdr:rowOff>1771651</xdr:rowOff>
    </xdr:from>
    <xdr:to>
      <xdr:col>3</xdr:col>
      <xdr:colOff>3479426</xdr:colOff>
      <xdr:row>17</xdr:row>
      <xdr:rowOff>2286001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0F4B0E-9F0D-BD45-384C-F449FE4C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5143501"/>
          <a:ext cx="3431801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0D2AEA-031B-47E7-BD97-87A0BA25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17</xdr:row>
      <xdr:rowOff>758973</xdr:rowOff>
    </xdr:from>
    <xdr:to>
      <xdr:col>2</xdr:col>
      <xdr:colOff>1228725</xdr:colOff>
      <xdr:row>17</xdr:row>
      <xdr:rowOff>2191199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0A6FB7-4B2D-07A4-B63A-D30368229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0" y="4130823"/>
          <a:ext cx="1114425" cy="1432226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17</xdr:row>
      <xdr:rowOff>1819275</xdr:rowOff>
    </xdr:from>
    <xdr:to>
      <xdr:col>3</xdr:col>
      <xdr:colOff>2019300</xdr:colOff>
      <xdr:row>17</xdr:row>
      <xdr:rowOff>2314575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EAD2D6E-266D-2D02-98BE-2931E30FA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5191125"/>
          <a:ext cx="1981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AA810E-D869-4ADF-AD70-2834C8AE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17</xdr:row>
      <xdr:rowOff>466724</xdr:rowOff>
    </xdr:from>
    <xdr:to>
      <xdr:col>2</xdr:col>
      <xdr:colOff>1278721</xdr:colOff>
      <xdr:row>17</xdr:row>
      <xdr:rowOff>2152650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36D3F6-4F94-3B62-46CB-FC3EE3F98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5425" y="3838574"/>
          <a:ext cx="1154896" cy="1685926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17</xdr:row>
      <xdr:rowOff>1885949</xdr:rowOff>
    </xdr:from>
    <xdr:to>
      <xdr:col>3</xdr:col>
      <xdr:colOff>1733550</xdr:colOff>
      <xdr:row>17</xdr:row>
      <xdr:rowOff>2309866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1BAA30-5953-FBD7-5D91-0EEDE2B7B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5257799"/>
          <a:ext cx="1676400" cy="423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hffic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ohffic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hffic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ohffice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45D3-C838-4328-8770-1C9FC8841FC4}">
  <sheetPr>
    <pageSetUpPr fitToPage="1"/>
  </sheetPr>
  <dimension ref="A1:Y185"/>
  <sheetViews>
    <sheetView topLeftCell="A19" workbookViewId="0">
      <selection activeCell="H32" sqref="H32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36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39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50</v>
      </c>
      <c r="D18" s="50" t="s">
        <v>51</v>
      </c>
      <c r="E18" s="51">
        <v>48</v>
      </c>
      <c r="F18" s="52">
        <v>144</v>
      </c>
      <c r="G18" s="53">
        <f t="shared" ref="G18" si="0">+F18*E18</f>
        <v>6912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6912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37</v>
      </c>
      <c r="C22" s="67"/>
      <c r="D22" s="68"/>
      <c r="E22" s="55"/>
      <c r="F22" s="45" t="s">
        <v>13</v>
      </c>
      <c r="G22" s="46">
        <f>G19</f>
        <v>6912</v>
      </c>
    </row>
    <row r="23" spans="1:25" ht="15.75" x14ac:dyDescent="0.25">
      <c r="A23" s="55"/>
      <c r="B23" s="69" t="s">
        <v>38</v>
      </c>
      <c r="C23" s="70"/>
      <c r="D23" s="71"/>
      <c r="E23" s="55"/>
      <c r="F23" s="44" t="s">
        <v>43</v>
      </c>
      <c r="G23" s="43">
        <f>G22*20%</f>
        <v>1382.4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40</v>
      </c>
      <c r="G24" s="43">
        <f>G22-G23</f>
        <v>5529.6</v>
      </c>
    </row>
    <row r="25" spans="1:25" ht="15.75" x14ac:dyDescent="0.25">
      <c r="A25" s="55"/>
      <c r="B25" s="55"/>
      <c r="C25" s="55"/>
      <c r="D25" s="55"/>
      <c r="E25" s="55"/>
      <c r="F25" s="44" t="s">
        <v>41</v>
      </c>
      <c r="G25" s="43">
        <v>85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42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5614.6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1066.7740000000001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6681.3740000000007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11" priority="1" stopIfTrue="1" operator="equal">
      <formula>"a"</formula>
    </cfRule>
    <cfRule type="cellIs" dxfId="10" priority="2" stopIfTrue="1" operator="equal">
      <formula>"P"</formula>
    </cfRule>
    <cfRule type="cellIs" dxfId="9" priority="3" stopIfTrue="1" operator="equal">
      <formula>"I"</formula>
    </cfRule>
  </conditionalFormatting>
  <hyperlinks>
    <hyperlink ref="F8" r:id="rId1" display="http://www.ohffice.cl/" xr:uid="{3E2E1959-3CA4-453D-A58C-CF716FF08DB4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8D31-C532-4D46-9F32-6F8ED24D80E3}">
  <sheetPr>
    <pageSetUpPr fitToPage="1"/>
  </sheetPr>
  <dimension ref="A1:Y185"/>
  <sheetViews>
    <sheetView topLeftCell="A22" workbookViewId="0">
      <selection activeCell="G34" sqref="G34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36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39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48</v>
      </c>
      <c r="D18" s="50" t="s">
        <v>49</v>
      </c>
      <c r="E18" s="51">
        <v>48</v>
      </c>
      <c r="F18" s="52">
        <v>118</v>
      </c>
      <c r="G18" s="53">
        <f t="shared" ref="G18" si="0">+F18*E18</f>
        <v>5664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5664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37</v>
      </c>
      <c r="C22" s="67"/>
      <c r="D22" s="68"/>
      <c r="E22" s="55"/>
      <c r="F22" s="45" t="s">
        <v>13</v>
      </c>
      <c r="G22" s="46">
        <f>G19</f>
        <v>5664</v>
      </c>
    </row>
    <row r="23" spans="1:25" ht="15.75" x14ac:dyDescent="0.25">
      <c r="A23" s="55"/>
      <c r="B23" s="69" t="s">
        <v>38</v>
      </c>
      <c r="C23" s="70"/>
      <c r="D23" s="71"/>
      <c r="E23" s="55"/>
      <c r="F23" s="44" t="s">
        <v>43</v>
      </c>
      <c r="G23" s="43">
        <f>G22*20%</f>
        <v>1132.8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40</v>
      </c>
      <c r="G24" s="43">
        <f>G22-G23</f>
        <v>4531.2</v>
      </c>
    </row>
    <row r="25" spans="1:25" ht="15.75" x14ac:dyDescent="0.25">
      <c r="A25" s="55"/>
      <c r="B25" s="55"/>
      <c r="C25" s="55"/>
      <c r="D25" s="55"/>
      <c r="E25" s="55"/>
      <c r="F25" s="44" t="s">
        <v>41</v>
      </c>
      <c r="G25" s="43">
        <v>85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42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4616.2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877.07799999999997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5493.2780000000002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8" priority="1" stopIfTrue="1" operator="equal">
      <formula>"a"</formula>
    </cfRule>
    <cfRule type="cellIs" dxfId="7" priority="2" stopIfTrue="1" operator="equal">
      <formula>"P"</formula>
    </cfRule>
    <cfRule type="cellIs" dxfId="6" priority="3" stopIfTrue="1" operator="equal">
      <formula>"I"</formula>
    </cfRule>
  </conditionalFormatting>
  <hyperlinks>
    <hyperlink ref="F8" r:id="rId1" display="http://www.ohffice.cl/" xr:uid="{5E8BEE5E-7211-4955-B9E9-4F8E2F3A5830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BC0A-AF73-4193-9B56-F0A38D543B15}">
  <sheetPr>
    <pageSetUpPr fitToPage="1"/>
  </sheetPr>
  <dimension ref="A1:Y185"/>
  <sheetViews>
    <sheetView topLeftCell="A21" workbookViewId="0">
      <selection activeCell="G36" sqref="G36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36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39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46</v>
      </c>
      <c r="D18" s="50" t="s">
        <v>47</v>
      </c>
      <c r="E18" s="51">
        <v>48</v>
      </c>
      <c r="F18" s="52">
        <v>111</v>
      </c>
      <c r="G18" s="53">
        <f t="shared" ref="G18" si="0">+F18*E18</f>
        <v>5328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5328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37</v>
      </c>
      <c r="C22" s="67"/>
      <c r="D22" s="68"/>
      <c r="E22" s="55"/>
      <c r="F22" s="45" t="s">
        <v>13</v>
      </c>
      <c r="G22" s="46">
        <f>G19</f>
        <v>5328</v>
      </c>
    </row>
    <row r="23" spans="1:25" ht="15.75" x14ac:dyDescent="0.25">
      <c r="A23" s="55"/>
      <c r="B23" s="69" t="s">
        <v>38</v>
      </c>
      <c r="C23" s="70"/>
      <c r="D23" s="71"/>
      <c r="E23" s="55"/>
      <c r="F23" s="44" t="s">
        <v>43</v>
      </c>
      <c r="G23" s="43">
        <f>G22*20%</f>
        <v>1065.6000000000001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40</v>
      </c>
      <c r="G24" s="43">
        <f>G22-G23</f>
        <v>4262.3999999999996</v>
      </c>
    </row>
    <row r="25" spans="1:25" ht="15.75" x14ac:dyDescent="0.25">
      <c r="A25" s="55"/>
      <c r="B25" s="55"/>
      <c r="C25" s="55"/>
      <c r="D25" s="55"/>
      <c r="E25" s="55"/>
      <c r="F25" s="44" t="s">
        <v>41</v>
      </c>
      <c r="G25" s="43">
        <v>85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42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4347.3999999999996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826.00599999999997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5173.4059999999999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5" priority="1" stopIfTrue="1" operator="equal">
      <formula>"a"</formula>
    </cfRule>
    <cfRule type="cellIs" dxfId="4" priority="2" stopIfTrue="1" operator="equal">
      <formula>"P"</formula>
    </cfRule>
    <cfRule type="cellIs" dxfId="3" priority="3" stopIfTrue="1" operator="equal">
      <formula>"I"</formula>
    </cfRule>
  </conditionalFormatting>
  <hyperlinks>
    <hyperlink ref="F8" r:id="rId1" display="http://www.ohffice.cl/" xr:uid="{38818D7B-91FF-406A-BFBD-A71DA4F6E810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85"/>
  <sheetViews>
    <sheetView tabSelected="1" topLeftCell="A21" workbookViewId="0">
      <selection activeCell="H35" sqref="H35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36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39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44</v>
      </c>
      <c r="D18" s="50" t="s">
        <v>45</v>
      </c>
      <c r="E18" s="51">
        <v>48</v>
      </c>
      <c r="F18" s="52">
        <v>51</v>
      </c>
      <c r="G18" s="53">
        <f t="shared" ref="G18" si="0">+F18*E18</f>
        <v>2448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2448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37</v>
      </c>
      <c r="C22" s="67"/>
      <c r="D22" s="68"/>
      <c r="E22" s="55"/>
      <c r="F22" s="45" t="s">
        <v>13</v>
      </c>
      <c r="G22" s="46">
        <f>G19</f>
        <v>2448</v>
      </c>
    </row>
    <row r="23" spans="1:25" ht="15.75" x14ac:dyDescent="0.25">
      <c r="A23" s="55"/>
      <c r="B23" s="69" t="s">
        <v>38</v>
      </c>
      <c r="C23" s="70"/>
      <c r="D23" s="71"/>
      <c r="E23" s="55"/>
      <c r="F23" s="44" t="s">
        <v>43</v>
      </c>
      <c r="G23" s="43">
        <f>G22*20%</f>
        <v>489.6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40</v>
      </c>
      <c r="G24" s="43">
        <f>G22-G23</f>
        <v>1958.4</v>
      </c>
    </row>
    <row r="25" spans="1:25" ht="15.75" x14ac:dyDescent="0.25">
      <c r="A25" s="55"/>
      <c r="B25" s="55"/>
      <c r="C25" s="55"/>
      <c r="D25" s="55"/>
      <c r="E25" s="55"/>
      <c r="F25" s="44" t="s">
        <v>41</v>
      </c>
      <c r="G25" s="43">
        <v>85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42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2043.4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388.24600000000004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2431.6460000000002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0:C31"/>
    <mergeCell ref="B3:E4"/>
    <mergeCell ref="B22:D22"/>
    <mergeCell ref="B23:D23"/>
    <mergeCell ref="B26:C28"/>
  </mergeCells>
  <conditionalFormatting sqref="F17:F21">
    <cfRule type="cellIs" dxfId="2" priority="46" stopIfTrue="1" operator="equal">
      <formula>"a"</formula>
    </cfRule>
    <cfRule type="cellIs" dxfId="1" priority="47" stopIfTrue="1" operator="equal">
      <formula>"P"</formula>
    </cfRule>
    <cfRule type="cellIs" dxfId="0" priority="48" stopIfTrue="1" operator="equal">
      <formula>"I"</formula>
    </cfRule>
  </conditionalFormatting>
  <hyperlinks>
    <hyperlink ref="F8" r:id="rId1" display="http://www.ohffice.cl/" xr:uid="{0327655A-8133-460D-9D59-A3D386A2E5E4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GO</vt:lpstr>
      <vt:lpstr>VIVA</vt:lpstr>
      <vt:lpstr>STAY</vt:lpstr>
      <vt:lpstr>JOY</vt:lpstr>
      <vt:lpstr>GO!Área_de_impresión</vt:lpstr>
      <vt:lpstr>JOY!Área_de_impresión</vt:lpstr>
      <vt:lpstr>STAY!Área_de_impresión</vt:lpstr>
      <vt:lpstr>VIVA!Área_de_impresión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Esparza</dc:creator>
  <cp:keywords/>
  <dc:description/>
  <cp:lastModifiedBy>Ventas Ohffice 2</cp:lastModifiedBy>
  <cp:revision/>
  <cp:lastPrinted>2022-06-28T13:35:16Z</cp:lastPrinted>
  <dcterms:created xsi:type="dcterms:W3CDTF">2021-07-29T16:15:32Z</dcterms:created>
  <dcterms:modified xsi:type="dcterms:W3CDTF">2024-07-10T18:57:25Z</dcterms:modified>
  <cp:category/>
  <cp:contentStatus/>
</cp:coreProperties>
</file>