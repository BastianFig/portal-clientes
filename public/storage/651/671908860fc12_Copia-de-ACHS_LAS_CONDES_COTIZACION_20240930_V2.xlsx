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Ventas Ohffice 2\Desktop\OHFFICE\PROYECTOS\ACHS\2024\LAS CONDES\"/>
    </mc:Choice>
  </mc:AlternateContent>
  <xr:revisionPtr revIDLastSave="0" documentId="13_ncr:1_{BDC05D17-F9BA-47F8-B9A2-2A3400D413B0}" xr6:coauthVersionLast="47" xr6:coauthVersionMax="47" xr10:uidLastSave="{00000000-0000-0000-0000-000000000000}"/>
  <bookViews>
    <workbookView xWindow="-120" yWindow="-120" windowWidth="20730" windowHeight="11160" activeTab="1" xr2:uid="{C8E71719-6E8B-43EC-9E6D-7EB31202EC04}"/>
  </bookViews>
  <sheets>
    <sheet name="A0LCDAAS01" sheetId="6" r:id="rId1"/>
    <sheet name="C2LCSADM01" sheetId="7" r:id="rId2"/>
    <sheet name="1 - COT. RESUMEN ACTUALIZADA" sheetId="3" r:id="rId3"/>
  </sheets>
  <definedNames>
    <definedName name="_MailAutoSig" localSheetId="2">'1 - COT. RESUMEN ACTUALIZADA'!$B$65</definedName>
    <definedName name="_MailAutoSig" localSheetId="0">A0LCDAAS01!$B$35</definedName>
    <definedName name="_MailAutoSig" localSheetId="1">'C2LCSADM01'!$B$42</definedName>
    <definedName name="_xlnm.Print_Area" localSheetId="2">'1 - COT. RESUMEN ACTUALIZADA'!$C$17:$K$36</definedName>
    <definedName name="_xlnm.Print_Area" localSheetId="0">A0LCDAAS01!$B$1:$L$55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1" i="7" l="1"/>
  <c r="J29" i="7"/>
  <c r="J30" i="7"/>
  <c r="J22" i="6"/>
  <c r="J28" i="7"/>
  <c r="J27" i="7"/>
  <c r="J26" i="7"/>
  <c r="J25" i="7"/>
  <c r="J24" i="7"/>
  <c r="J23" i="7"/>
  <c r="J22" i="7"/>
  <c r="J21" i="7"/>
  <c r="J20" i="7"/>
  <c r="J19" i="7"/>
  <c r="J18" i="7"/>
  <c r="J17" i="7"/>
  <c r="J16" i="7"/>
  <c r="J23" i="6"/>
  <c r="J21" i="6"/>
  <c r="J20" i="6"/>
  <c r="J19" i="6"/>
  <c r="J18" i="6"/>
  <c r="J17" i="6"/>
  <c r="J16" i="6"/>
  <c r="J35" i="7" l="1"/>
  <c r="J24" i="6"/>
  <c r="J28" i="6" s="1"/>
  <c r="J47" i="3"/>
  <c r="J48" i="3"/>
  <c r="J49" i="3"/>
  <c r="J50" i="3"/>
  <c r="J40" i="3"/>
  <c r="J51" i="3"/>
  <c r="J37" i="3"/>
  <c r="K37" i="3" s="1"/>
  <c r="J36" i="7" l="1"/>
  <c r="J33" i="7"/>
  <c r="J34" i="7" s="1"/>
  <c r="J37" i="7" s="1"/>
  <c r="J38" i="7" s="1"/>
  <c r="J39" i="7" s="1"/>
  <c r="J26" i="6"/>
  <c r="J27" i="6" s="1"/>
  <c r="J29" i="6"/>
  <c r="J53" i="3"/>
  <c r="J52" i="3"/>
  <c r="J46" i="3"/>
  <c r="J45" i="3"/>
  <c r="K45" i="3" s="1"/>
  <c r="J44" i="3"/>
  <c r="J43" i="3"/>
  <c r="J42" i="3"/>
  <c r="J41" i="3"/>
  <c r="K41" i="3" s="1"/>
  <c r="J39" i="3"/>
  <c r="J38" i="3"/>
  <c r="J36" i="3"/>
  <c r="J35" i="3"/>
  <c r="K35" i="3" s="1"/>
  <c r="J34" i="3"/>
  <c r="J33" i="3"/>
  <c r="J32" i="3"/>
  <c r="K32" i="3" s="1"/>
  <c r="J31" i="3"/>
  <c r="J30" i="3"/>
  <c r="J29" i="3"/>
  <c r="J28" i="3"/>
  <c r="J27" i="3"/>
  <c r="K27" i="3" s="1"/>
  <c r="J26" i="3"/>
  <c r="J25" i="3"/>
  <c r="J24" i="3"/>
  <c r="J23" i="3"/>
  <c r="K23" i="3" s="1"/>
  <c r="J22" i="3"/>
  <c r="J21" i="3"/>
  <c r="K21" i="3" s="1"/>
  <c r="J20" i="3"/>
  <c r="J19" i="3"/>
  <c r="J18" i="3"/>
  <c r="J17" i="3"/>
  <c r="J16" i="3"/>
  <c r="K16" i="3" s="1"/>
  <c r="J30" i="6" l="1"/>
  <c r="J31" i="6" s="1"/>
  <c r="J32" i="6" s="1"/>
  <c r="K17" i="3"/>
  <c r="K25" i="3"/>
  <c r="K38" i="3"/>
  <c r="K52" i="3"/>
  <c r="K30" i="3"/>
  <c r="J54" i="3"/>
  <c r="J56" i="3" l="1"/>
  <c r="J57" i="3" s="1"/>
  <c r="J59" i="3"/>
  <c r="J58" i="3"/>
  <c r="K54" i="3"/>
  <c r="J60" i="3" l="1"/>
  <c r="J61" i="3" s="1"/>
  <c r="J62" i="3" s="1"/>
</calcChain>
</file>

<file path=xl/sharedStrings.xml><?xml version="1.0" encoding="utf-8"?>
<sst xmlns="http://schemas.openxmlformats.org/spreadsheetml/2006/main" count="305" uniqueCount="129">
  <si>
    <t>CODIGO</t>
  </si>
  <si>
    <t>CANTIDAD</t>
  </si>
  <si>
    <t>TOTAL</t>
  </si>
  <si>
    <t xml:space="preserve">SUBTOTAL       </t>
  </si>
  <si>
    <t>NETO</t>
  </si>
  <si>
    <t>TOTAL FINAL</t>
  </si>
  <si>
    <t>PROYECTO</t>
  </si>
  <si>
    <t>CLIENTE</t>
  </si>
  <si>
    <t>DIRECCIÓN</t>
  </si>
  <si>
    <t>ENCARGADO SR/SRA:</t>
  </si>
  <si>
    <t>FECHA</t>
  </si>
  <si>
    <t>REQUERIMIENTO MOBILIARIO</t>
  </si>
  <si>
    <t>COMUNA</t>
  </si>
  <si>
    <t>CIUDAD</t>
  </si>
  <si>
    <t>TELEFONO</t>
  </si>
  <si>
    <t>EJECUTUVO</t>
  </si>
  <si>
    <t>SANTIAGO</t>
  </si>
  <si>
    <t>FECHA EMISION</t>
  </si>
  <si>
    <t>Nº</t>
  </si>
  <si>
    <t>TIPO</t>
  </si>
  <si>
    <t>DESCRIPCION</t>
  </si>
  <si>
    <t>PRECIO UNITARIO</t>
  </si>
  <si>
    <t>TOTAL TIPO</t>
  </si>
  <si>
    <t>DESCUENTO 15%</t>
  </si>
  <si>
    <t>IVA 19%</t>
  </si>
  <si>
    <t>R.U.T.</t>
  </si>
  <si>
    <t>Condiciones Comerciales</t>
  </si>
  <si>
    <t>Aceptación de un proyecto</t>
  </si>
  <si>
    <t>Se entenderá por aceptado el proyecto una vez que el cliente haya emitido una orden de compra (OC) por la cotización a Ohffice SpA, se firmen: los planos definitivos del proyecto, colores de terminaciones, tapices, para la fabricación de los productos y se haya cancelado el anticipo pactado en la cotización. Los productos de importación serán facturados al dólar observado del día de facturación.
Solo una vez que se cuente con el anticipo, el proyecto pasa a etapa de fabricación.</t>
  </si>
  <si>
    <t>Rectificación</t>
  </si>
  <si>
    <t>Una vez recibida la OC del cliente, dentro de 2 días, nuestro personal calificado rectificará medidas en obra.  Esto puede producir variaciones en productos, cantidades, valores y plazos de entregas que serán informados al cliente para su aprobación final.  Si el cliente define no rectificar las medidas en terreno y trabajar solo en base a planimetría, cualquier variación de obra que provoquen modificaciones al mobiliario serán de responsabilidad y cargo exclusivo del cliente.</t>
  </si>
  <si>
    <t>Modificaciones</t>
  </si>
  <si>
    <t>Solo se aceptarán modificaciones posteriores a un proyecto aprobado, no instalado, si se acepta por escrito un nuevo presupuesto con las variaciones de productos solicitados y estos costos son asumidos por el cliente. 
Estas modificaciones aprobadas, deben considerar un plazo de entrega de 25 días hábiles, una vez aceptado el presupuesto.</t>
  </si>
  <si>
    <t>Despacho e Instalación</t>
  </si>
  <si>
    <t xml:space="preserve">El despacho e instalación de cada proyectos debe ser considerado y evaluado de forma particular de acuerdo a la ubicación, tipo de mercancía, ubicación, entre otros. 
No se despacharán ni instalarán productos mientras la obra no esté terminada. En caso de que el cliente lo exija, éste asume total responsabilidad por deterioro o daño de los productos. 
La instalación será realizada por personal de Ohffice, conforme con los planos firmados por el cliente en la aceptación del proyecto. Si el cliente quiere realizar la instalación por su propia cuenta, se exime de responsabilidad a Ohffice todo daño o deterioro en los productos.
Toda modificación en la distribución debe ser realizada por escrito solo por el responsable del proyecto. 
En caso de que el cliente no pueda recibir en la fecha comprometida, Ohffice realizará un cargo por bodegaje de 0,3UF por día adicional a la fecha. 
</t>
  </si>
  <si>
    <t>Recepción Final</t>
  </si>
  <si>
    <t xml:space="preserve">El ejecutivo de Ohffice realizará una revisión final con el responsable del proyecto, que se entenderá como recepción final por parte del cliente, liberando el pago final del 10%. </t>
  </si>
  <si>
    <t>Devoluciones</t>
  </si>
  <si>
    <t xml:space="preserve">Ohffice SPA, solo aceptará devoluciones si la devolución del producto se realiza antes de 3 días hábiles después de recibido por el cliente y el producto se encuentre en óptimas condiciones y no haya sido utilizado. No se aceptarán devoluciones de productos especiales fabricados o importados a pedido. </t>
  </si>
  <si>
    <t>PAOLA YANQUEZ</t>
  </si>
  <si>
    <r>
      <t>[1]</t>
    </r>
    <r>
      <rPr>
        <sz val="9"/>
        <rFont val="Calibri"/>
        <family val="2"/>
      </rPr>
      <t xml:space="preserve"> Por espacio no habilitado para rectificar se entiende como aquellos lugares que cuenten con construcciones u modificaciones en su interior. </t>
    </r>
  </si>
  <si>
    <r>
      <t xml:space="preserve">[1] </t>
    </r>
    <r>
      <rPr>
        <sz val="9"/>
        <rFont val="Calibri"/>
        <family val="2"/>
      </rPr>
      <t>Las siguientes provincias pertenecientes a la Región Metropolitana sí cuentan con costo de transporte: Provincia de Maipo, Provincia de Melipilla y Provincia Cordillera.</t>
    </r>
  </si>
  <si>
    <t>ACHS</t>
  </si>
  <si>
    <t>ESCRITORIOS Y MESAS</t>
  </si>
  <si>
    <t>FLETE 4%</t>
  </si>
  <si>
    <t>INSTALACION 3%</t>
  </si>
  <si>
    <t>CUR25.12070.A</t>
  </si>
  <si>
    <t>BOTIQUIN</t>
  </si>
  <si>
    <t>CUR25.17070.A</t>
  </si>
  <si>
    <t>CUD25.80.B</t>
  </si>
  <si>
    <t>SALA PSICOMETRIA</t>
  </si>
  <si>
    <t>ACHS LAS CONDES</t>
  </si>
  <si>
    <t>NATALIA GONZALEZ</t>
  </si>
  <si>
    <t>LAS CONDES</t>
  </si>
  <si>
    <t xml:space="preserve">COTIZACIÓN ACHS LAS CONDES </t>
  </si>
  <si>
    <t>CUBIERTA RECTA (25MM)120 X 70 LAMINADO A</t>
  </si>
  <si>
    <t>INT312</t>
  </si>
  <si>
    <t>VERTEBRA RIGIDA H=540 REGULABLE HASTA 725</t>
  </si>
  <si>
    <t>BIO.11030.V</t>
  </si>
  <si>
    <t>KIT BIOMBO VIDRIO DE 110 X 30</t>
  </si>
  <si>
    <t>CUBIERTA DIAMETRO 80 (25MM) LAMINADO B</t>
  </si>
  <si>
    <t>INT_PILAR400H725</t>
  </si>
  <si>
    <t>PILAR BASE 400 TB 5¨C/FLANGE 330x330 H=725</t>
  </si>
  <si>
    <t>CUBIERTA RECTA (25MM)DE 170 X 70 LAMINADO A</t>
  </si>
  <si>
    <t>OH12002.M</t>
  </si>
  <si>
    <t>OH12001.A</t>
  </si>
  <si>
    <t>GABINETE REPISA DE 40 X 40 X 120 FULL MELAMINA</t>
  </si>
  <si>
    <t>GABINETE IMPRESORA DE 50 X 50 X 40 LAM A</t>
  </si>
  <si>
    <t>INT2187</t>
  </si>
  <si>
    <t>EST LIGHT 120X70 PF5050 C/E MDLDBL</t>
  </si>
  <si>
    <t>EST LIGHT 170X70 PF5050 S/E</t>
  </si>
  <si>
    <t>NIVEL</t>
  </si>
  <si>
    <t>BANCA 100X40X45</t>
  </si>
  <si>
    <t>GIMNASIO REABILITACION</t>
  </si>
  <si>
    <t>CAJONERA CARRO 40X40X60</t>
  </si>
  <si>
    <t>ESTACION ENFERMERIA</t>
  </si>
  <si>
    <t>ESTAR PERSONAL</t>
  </si>
  <si>
    <t>SALA ECO</t>
  </si>
  <si>
    <t>SALA INFORMES</t>
  </si>
  <si>
    <t>INT1926</t>
  </si>
  <si>
    <t>OFICINA RECAUDACION</t>
  </si>
  <si>
    <t>VESTIDORES PERSONAL EXTERNO</t>
  </si>
  <si>
    <t>OPEN PLAN</t>
  </si>
  <si>
    <t>INT1930</t>
  </si>
  <si>
    <t>CUR25.13070.A</t>
  </si>
  <si>
    <t xml:space="preserve">COMEDOR </t>
  </si>
  <si>
    <t>CUR25.19080.A</t>
  </si>
  <si>
    <t>CUR25.8080.A</t>
  </si>
  <si>
    <t xml:space="preserve">OPEN PLAN </t>
  </si>
  <si>
    <t>SALAS DE CAPACITACION</t>
  </si>
  <si>
    <t>BIO.12030.V</t>
  </si>
  <si>
    <t>CUBIERTA RECTA (25MM)DE 130 X 70 LAMINADO A</t>
  </si>
  <si>
    <t>EST LIGHT 390X140 PF5050 C/E MDLDBL Y CNLDBL VRTRGD</t>
  </si>
  <si>
    <t>KIT BIOMBO VIDRIO DE 120 X 30</t>
  </si>
  <si>
    <t>CUBIERTA RECTA (25MM)DE 190 X 80 LAMINADO A</t>
  </si>
  <si>
    <t>CUBIERTA RECTA (25MM)DE 80 X 80 LAMINADO A</t>
  </si>
  <si>
    <t>EST LIGHT 360X140 PF5050 S/E</t>
  </si>
  <si>
    <t>CANALDOBLIGHT70</t>
  </si>
  <si>
    <t>CANAL LIGHT DOBLE L=0700mm. C/SOP. VIDRIO</t>
  </si>
  <si>
    <t>INT_UNIONSIM70</t>
  </si>
  <si>
    <t>UNION CENTRAL CANAL SIMPLE P/CUB. 0900 A 1600 LINK</t>
  </si>
  <si>
    <t>INT_CAJA2X1</t>
  </si>
  <si>
    <t>CAJA ELECTRICA SIMPLE-DOBLE(1X2)</t>
  </si>
  <si>
    <t>INT2225</t>
  </si>
  <si>
    <t>MESA COWORK 6 PERSONAS</t>
  </si>
  <si>
    <t>BENCH COMPUESTO POR CUBIERTA DE 130X70 TOTAL 390X140. CUBIERTA BLANCA ESTRUCTURA NEGRA Y BIOMBOS DE VIDRIO</t>
  </si>
  <si>
    <t>MESA COMEDOR 6 PERSONAS</t>
  </si>
  <si>
    <t>MESA DE COMEDOR PARA 6 PERSONAS DE 190X80, CUBIERTA BLANCA BASES PLATO</t>
  </si>
  <si>
    <t>MESA COMEDOR 2 PERSONAS</t>
  </si>
  <si>
    <t>MESA DE COMEDOR PARA 2 PERSONAS DE 80X80, CUBIERTA BLANCA BASES PLATO</t>
  </si>
  <si>
    <t>BENCH COMPUESTO POR CUBIERTA DE 120X70 TOTAL 360X140. CUBIERTA BLANCA ESTRUCTURA NEGRA Y BIOMBOS DE VIDRIO</t>
  </si>
  <si>
    <t>ESCRITORIO</t>
  </si>
  <si>
    <t>ESCRITORIO RECTO DE 120X70, ESTRUCTURA NEGRA</t>
  </si>
  <si>
    <t>CAJONERA CARRO</t>
  </si>
  <si>
    <t>MESA SIMPLE TIPO A7</t>
  </si>
  <si>
    <t>ESCRITORIO 120X70 SIMPLE CON ESTRUCTURA NEGRA</t>
  </si>
  <si>
    <t>CLOSET/ARCHIVERO</t>
  </si>
  <si>
    <t>CAJONERA IMPRESORA</t>
  </si>
  <si>
    <t>MESA REDONDA ESTAR</t>
  </si>
  <si>
    <t>MESA REDONDA DIAMETRO 80, CUBIERTA MADERA Y BASE NEGRA</t>
  </si>
  <si>
    <t>ESCRITORIO 170X70 SIMPLE CON ESTRUCTURA NEGRA</t>
  </si>
  <si>
    <t>CAJONERA</t>
  </si>
  <si>
    <t>BANCA CAMARIN</t>
  </si>
  <si>
    <t>OH12161</t>
  </si>
  <si>
    <t>OH12160.A</t>
  </si>
  <si>
    <t xml:space="preserve">COTIZACIÓN ACHS LAS CONDES A0LCDAAS01 </t>
  </si>
  <si>
    <t>COTIZACIÓN ACHS LAS CONDES  C2LCSADM01</t>
  </si>
  <si>
    <t>SILLA CLINICA MEDICO</t>
  </si>
  <si>
    <t>SILLA MOOV LIGHT ESP_SINCRO_EST GRIS_RESP PLAST GRIS_(CEC)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</si>
</sst>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 &quot;$&quot;* #,##0_ ;_ &quot;$&quot;* \-#,##0_ ;_ &quot;$&quot;* &quot;-&quot;_ ;_ @_ "/>
  </numFmts>
  <fonts count="16" x14ac:knownFonts="1">
    <font>
      <sz val="11"/>
      <color theme="1"/>
      <name val="Calibri"/>
      <family val="2"/>
      <scheme val="minor"/>
    </font>
    <font>
      <sz val="11"/>
      <color theme="1"/>
      <name val="Calibri"/>
      <family val="2"/>
      <scheme val="minor"/>
    </font>
    <font>
      <sz val="11"/>
      <color theme="1"/>
      <name val="Montserrat"/>
    </font>
    <font>
      <b/>
      <sz val="14"/>
      <name val="Montserrat"/>
    </font>
    <font>
      <sz val="10"/>
      <color theme="1"/>
      <name val="Montserrat"/>
    </font>
    <font>
      <b/>
      <sz val="10"/>
      <name val="Montserrat"/>
    </font>
    <font>
      <sz val="10"/>
      <name val="Arial"/>
      <family val="2"/>
    </font>
    <font>
      <sz val="10"/>
      <color theme="1"/>
      <name val="Calibri"/>
      <family val="2"/>
      <scheme val="minor"/>
    </font>
    <font>
      <sz val="10"/>
      <name val="Montserrat"/>
    </font>
    <font>
      <b/>
      <sz val="10"/>
      <color indexed="8"/>
      <name val="Arial"/>
      <family val="2"/>
    </font>
    <font>
      <sz val="12"/>
      <name val="Arial"/>
      <family val="2"/>
    </font>
    <font>
      <b/>
      <u/>
      <sz val="12"/>
      <name val="Arial"/>
      <family val="2"/>
    </font>
    <font>
      <sz val="12"/>
      <color indexed="8"/>
      <name val="Arial"/>
      <family val="2"/>
    </font>
    <font>
      <b/>
      <sz val="12"/>
      <name val="Arial"/>
      <family val="2"/>
    </font>
    <font>
      <vertAlign val="superscript"/>
      <sz val="9"/>
      <name val="Calibri"/>
      <family val="2"/>
    </font>
    <font>
      <sz val="9"/>
      <name val="Calibri"/>
      <family val="2"/>
    </font>
  </fonts>
  <fills count="8">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8" tint="0.59999389629810485"/>
        <bgColor indexed="64"/>
      </patternFill>
    </fill>
    <fill>
      <patternFill patternType="solid">
        <fgColor rgb="FFFF0000"/>
        <bgColor indexed="64"/>
      </patternFill>
    </fill>
    <fill>
      <patternFill patternType="solid">
        <fgColor rgb="FF00B0F0"/>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2" fontId="1" fillId="0" borderId="0" applyFont="0" applyFill="0" applyBorder="0" applyAlignment="0" applyProtection="0"/>
  </cellStyleXfs>
  <cellXfs count="114">
    <xf numFmtId="0" fontId="0" fillId="0" borderId="0" xfId="0"/>
    <xf numFmtId="0" fontId="0" fillId="2" borderId="0" xfId="0" applyFill="1"/>
    <xf numFmtId="0" fontId="2" fillId="2" borderId="0" xfId="0" applyFont="1" applyFill="1"/>
    <xf numFmtId="0" fontId="2" fillId="2" borderId="0" xfId="0" applyFont="1" applyFill="1" applyAlignment="1">
      <alignment horizontal="center" vertical="center"/>
    </xf>
    <xf numFmtId="0" fontId="2" fillId="2" borderId="0" xfId="1" applyNumberFormat="1" applyFont="1" applyFill="1" applyAlignment="1">
      <alignment horizontal="center" vertical="center"/>
    </xf>
    <xf numFmtId="42" fontId="2" fillId="2" borderId="0" xfId="1" applyFont="1" applyFill="1"/>
    <xf numFmtId="1" fontId="2" fillId="2" borderId="0" xfId="0" applyNumberFormat="1" applyFont="1" applyFill="1"/>
    <xf numFmtId="0" fontId="2" fillId="2" borderId="8" xfId="0" applyFont="1" applyFill="1" applyBorder="1"/>
    <xf numFmtId="0" fontId="2" fillId="2" borderId="9" xfId="0" applyFont="1" applyFill="1" applyBorder="1"/>
    <xf numFmtId="0" fontId="2" fillId="2" borderId="9" xfId="0" applyFont="1" applyFill="1" applyBorder="1" applyAlignment="1">
      <alignment horizontal="center" vertical="center"/>
    </xf>
    <xf numFmtId="0" fontId="2" fillId="2" borderId="9" xfId="1" applyNumberFormat="1" applyFont="1" applyFill="1" applyBorder="1" applyAlignment="1">
      <alignment horizontal="center" vertical="center"/>
    </xf>
    <xf numFmtId="42" fontId="2" fillId="2" borderId="9" xfId="1" applyFont="1" applyFill="1" applyBorder="1"/>
    <xf numFmtId="0" fontId="2" fillId="2" borderId="10" xfId="0" applyFont="1" applyFill="1" applyBorder="1"/>
    <xf numFmtId="0" fontId="2" fillId="2" borderId="11" xfId="0" applyFont="1" applyFill="1" applyBorder="1"/>
    <xf numFmtId="0" fontId="2" fillId="2" borderId="0" xfId="1" applyNumberFormat="1" applyFont="1" applyFill="1" applyBorder="1" applyAlignment="1">
      <alignment horizontal="center" vertical="center"/>
    </xf>
    <xf numFmtId="42" fontId="2" fillId="2" borderId="0" xfId="1" applyFont="1" applyFill="1" applyBorder="1"/>
    <xf numFmtId="0" fontId="2" fillId="2" borderId="12" xfId="0" applyFont="1" applyFill="1" applyBorder="1"/>
    <xf numFmtId="0" fontId="2" fillId="2" borderId="13" xfId="0" applyFont="1" applyFill="1" applyBorder="1"/>
    <xf numFmtId="0" fontId="2" fillId="2" borderId="14" xfId="0" applyFont="1" applyFill="1" applyBorder="1"/>
    <xf numFmtId="0" fontId="2" fillId="2" borderId="14" xfId="0" applyFont="1" applyFill="1" applyBorder="1" applyAlignment="1">
      <alignment horizontal="center" vertical="center"/>
    </xf>
    <xf numFmtId="0" fontId="2" fillId="2" borderId="14" xfId="1" applyNumberFormat="1" applyFont="1" applyFill="1" applyBorder="1" applyAlignment="1">
      <alignment horizontal="center" vertical="center"/>
    </xf>
    <xf numFmtId="42" fontId="2" fillId="2" borderId="14" xfId="1" applyFont="1" applyFill="1" applyBorder="1"/>
    <xf numFmtId="0" fontId="2" fillId="2" borderId="15" xfId="0" applyFont="1" applyFill="1" applyBorder="1"/>
    <xf numFmtId="0" fontId="3" fillId="2" borderId="0" xfId="0" applyFont="1" applyFill="1" applyAlignment="1">
      <alignment horizontal="center"/>
    </xf>
    <xf numFmtId="0" fontId="0" fillId="2" borderId="12" xfId="0" applyFill="1" applyBorder="1"/>
    <xf numFmtId="0" fontId="0" fillId="0" borderId="12" xfId="0" applyBorder="1"/>
    <xf numFmtId="0" fontId="7" fillId="0" borderId="1" xfId="0" applyFont="1" applyBorder="1" applyAlignment="1">
      <alignment horizontal="center"/>
    </xf>
    <xf numFmtId="42" fontId="8" fillId="2" borderId="1" xfId="1" applyFont="1" applyFill="1" applyBorder="1" applyAlignment="1">
      <alignment horizontal="right"/>
    </xf>
    <xf numFmtId="42" fontId="8" fillId="2" borderId="1" xfId="1" applyFont="1" applyFill="1" applyBorder="1" applyAlignment="1">
      <alignment horizontal="left"/>
    </xf>
    <xf numFmtId="42" fontId="4" fillId="2" borderId="3" xfId="1" applyFont="1" applyFill="1" applyBorder="1"/>
    <xf numFmtId="42" fontId="8" fillId="2" borderId="1" xfId="1" applyFont="1" applyFill="1" applyBorder="1" applyAlignment="1">
      <alignment horizontal="center" vertical="center"/>
    </xf>
    <xf numFmtId="42" fontId="4" fillId="2" borderId="1" xfId="1" applyFont="1" applyFill="1" applyBorder="1"/>
    <xf numFmtId="0" fontId="4" fillId="2" borderId="0" xfId="0" applyFont="1" applyFill="1"/>
    <xf numFmtId="0" fontId="4" fillId="2" borderId="0" xfId="0" applyFont="1" applyFill="1" applyAlignment="1">
      <alignment horizontal="center" vertical="center"/>
    </xf>
    <xf numFmtId="0" fontId="4" fillId="2" borderId="0" xfId="1" applyNumberFormat="1" applyFont="1" applyFill="1" applyBorder="1" applyAlignment="1">
      <alignment horizontal="center" vertical="center"/>
    </xf>
    <xf numFmtId="42" fontId="4" fillId="2" borderId="1" xfId="0" applyNumberFormat="1" applyFont="1" applyFill="1" applyBorder="1" applyAlignment="1">
      <alignment horizontal="right"/>
    </xf>
    <xf numFmtId="42" fontId="4" fillId="2" borderId="0" xfId="1" applyFont="1" applyFill="1" applyBorder="1"/>
    <xf numFmtId="42" fontId="4" fillId="2" borderId="6" xfId="1" applyFont="1" applyFill="1" applyBorder="1"/>
    <xf numFmtId="42" fontId="4" fillId="2" borderId="2" xfId="1" applyFont="1" applyFill="1" applyBorder="1"/>
    <xf numFmtId="42" fontId="4" fillId="2" borderId="4" xfId="1" applyFont="1" applyFill="1" applyBorder="1"/>
    <xf numFmtId="42" fontId="4" fillId="2" borderId="7" xfId="1" applyFont="1" applyFill="1" applyBorder="1"/>
    <xf numFmtId="42" fontId="4" fillId="2" borderId="5" xfId="1" applyFont="1" applyFill="1" applyBorder="1"/>
    <xf numFmtId="0" fontId="9" fillId="3" borderId="0" xfId="0" applyFont="1" applyFill="1" applyAlignment="1">
      <alignment horizontal="left" vertical="center"/>
    </xf>
    <xf numFmtId="0" fontId="9" fillId="3" borderId="0" xfId="0" applyFont="1" applyFill="1" applyAlignment="1">
      <alignment vertical="center"/>
    </xf>
    <xf numFmtId="0" fontId="10" fillId="3" borderId="0" xfId="0" applyFont="1" applyFill="1"/>
    <xf numFmtId="0" fontId="10" fillId="3" borderId="0" xfId="0" applyFont="1" applyFill="1" applyAlignment="1">
      <alignment horizontal="center"/>
    </xf>
    <xf numFmtId="0" fontId="11" fillId="3" borderId="0" xfId="0" applyFont="1" applyFill="1" applyAlignment="1">
      <alignment horizontal="left" vertical="center"/>
    </xf>
    <xf numFmtId="0" fontId="10" fillId="3" borderId="0" xfId="0" applyFont="1" applyFill="1" applyAlignment="1">
      <alignment vertical="center" wrapText="1"/>
    </xf>
    <xf numFmtId="0" fontId="2" fillId="2" borderId="0" xfId="0" applyFont="1" applyFill="1" applyAlignment="1">
      <alignment horizontal="center"/>
    </xf>
    <xf numFmtId="0" fontId="2" fillId="2" borderId="9" xfId="0" applyFont="1" applyFill="1" applyBorder="1" applyAlignment="1">
      <alignment horizontal="center"/>
    </xf>
    <xf numFmtId="0" fontId="9" fillId="3" borderId="0" xfId="0" applyFont="1" applyFill="1" applyAlignment="1">
      <alignment horizontal="center" vertical="center"/>
    </xf>
    <xf numFmtId="0" fontId="4" fillId="2" borderId="0" xfId="0" applyFont="1" applyFill="1" applyAlignment="1">
      <alignment horizontal="center"/>
    </xf>
    <xf numFmtId="0" fontId="2" fillId="2" borderId="14" xfId="0" applyFont="1" applyFill="1" applyBorder="1" applyAlignment="1">
      <alignment horizontal="center"/>
    </xf>
    <xf numFmtId="0" fontId="14" fillId="0" borderId="0" xfId="0" applyFont="1" applyAlignment="1">
      <alignment vertical="center"/>
    </xf>
    <xf numFmtId="0" fontId="14" fillId="0" borderId="0" xfId="0" applyFont="1"/>
    <xf numFmtId="1" fontId="8" fillId="0" borderId="1" xfId="0" applyNumberFormat="1" applyFont="1" applyBorder="1" applyAlignment="1">
      <alignment horizontal="left" vertical="center"/>
    </xf>
    <xf numFmtId="1" fontId="8" fillId="0" borderId="1" xfId="0" applyNumberFormat="1" applyFont="1" applyBorder="1" applyAlignment="1">
      <alignment horizontal="center" vertical="center"/>
    </xf>
    <xf numFmtId="42" fontId="8" fillId="0" borderId="1" xfId="1" applyFont="1" applyFill="1" applyBorder="1" applyAlignment="1">
      <alignment horizontal="center" vertical="center"/>
    </xf>
    <xf numFmtId="0" fontId="4" fillId="4" borderId="2" xfId="0" applyFont="1" applyFill="1" applyBorder="1" applyAlignment="1">
      <alignment horizontal="center"/>
    </xf>
    <xf numFmtId="0" fontId="4" fillId="4" borderId="2" xfId="0" applyFont="1" applyFill="1" applyBorder="1"/>
    <xf numFmtId="0" fontId="4" fillId="4" borderId="1" xfId="0" applyFont="1" applyFill="1" applyBorder="1" applyAlignment="1">
      <alignment horizontal="center"/>
    </xf>
    <xf numFmtId="42" fontId="8" fillId="2" borderId="1" xfId="1" applyFont="1" applyFill="1" applyBorder="1" applyAlignment="1">
      <alignment vertical="center"/>
    </xf>
    <xf numFmtId="42" fontId="8" fillId="2" borderId="1" xfId="1" applyFont="1" applyFill="1" applyBorder="1" applyAlignment="1">
      <alignment horizontal="left" vertical="center"/>
    </xf>
    <xf numFmtId="1" fontId="8" fillId="0" borderId="1" xfId="0" applyNumberFormat="1" applyFont="1" applyBorder="1" applyAlignment="1">
      <alignment horizontal="left"/>
    </xf>
    <xf numFmtId="0" fontId="7" fillId="0" borderId="1" xfId="0" applyFont="1" applyBorder="1" applyAlignment="1">
      <alignment horizontal="center" vertical="center"/>
    </xf>
    <xf numFmtId="42" fontId="4" fillId="2" borderId="1" xfId="1" applyFont="1" applyFill="1" applyBorder="1" applyAlignment="1">
      <alignment vertical="center"/>
    </xf>
    <xf numFmtId="42" fontId="4" fillId="2" borderId="3" xfId="1" applyFont="1" applyFill="1" applyBorder="1" applyAlignment="1">
      <alignment horizontal="right"/>
    </xf>
    <xf numFmtId="1" fontId="8" fillId="0" borderId="7" xfId="0" applyNumberFormat="1" applyFont="1" applyBorder="1" applyAlignment="1">
      <alignment horizontal="center" vertical="center" wrapText="1"/>
    </xf>
    <xf numFmtId="1" fontId="8" fillId="0" borderId="1" xfId="0" applyNumberFormat="1" applyFont="1" applyBorder="1" applyAlignment="1">
      <alignment horizontal="center" vertical="center" wrapText="1"/>
    </xf>
    <xf numFmtId="1" fontId="8" fillId="0" borderId="2" xfId="0" applyNumberFormat="1" applyFont="1" applyBorder="1" applyAlignment="1">
      <alignment horizontal="center" vertical="center" wrapText="1"/>
    </xf>
    <xf numFmtId="0" fontId="2" fillId="2" borderId="0" xfId="0" applyFont="1" applyFill="1" applyAlignment="1">
      <alignment horizontal="right"/>
    </xf>
    <xf numFmtId="0" fontId="7" fillId="5" borderId="1" xfId="0" applyFont="1" applyFill="1" applyBorder="1" applyAlignment="1">
      <alignment horizontal="center" vertical="center"/>
    </xf>
    <xf numFmtId="0" fontId="7" fillId="5" borderId="7" xfId="0" applyFont="1" applyFill="1" applyBorder="1" applyAlignment="1">
      <alignment horizontal="center" vertical="center"/>
    </xf>
    <xf numFmtId="0" fontId="7" fillId="0" borderId="7" xfId="0" applyFont="1" applyBorder="1" applyAlignment="1">
      <alignment horizontal="center" vertical="center"/>
    </xf>
    <xf numFmtId="42" fontId="2" fillId="2" borderId="0" xfId="0" applyNumberFormat="1" applyFont="1" applyFill="1"/>
    <xf numFmtId="1" fontId="8" fillId="0" borderId="2" xfId="0" applyNumberFormat="1" applyFont="1" applyBorder="1" applyAlignment="1">
      <alignment vertical="center" wrapText="1"/>
    </xf>
    <xf numFmtId="1" fontId="8" fillId="0" borderId="2" xfId="0" applyNumberFormat="1" applyFont="1" applyBorder="1" applyAlignment="1">
      <alignment horizontal="center" vertical="center"/>
    </xf>
    <xf numFmtId="1" fontId="8" fillId="0" borderId="2" xfId="0" applyNumberFormat="1" applyFont="1" applyBorder="1" applyAlignment="1">
      <alignment vertical="center"/>
    </xf>
    <xf numFmtId="42" fontId="8" fillId="2" borderId="2" xfId="1" applyFont="1" applyFill="1" applyBorder="1" applyAlignment="1">
      <alignment vertical="center"/>
    </xf>
    <xf numFmtId="42" fontId="4" fillId="2" borderId="2" xfId="1" applyFont="1" applyFill="1" applyBorder="1" applyAlignment="1">
      <alignment vertical="center"/>
    </xf>
    <xf numFmtId="1" fontId="8" fillId="0" borderId="1" xfId="0" applyNumberFormat="1" applyFont="1" applyBorder="1" applyAlignment="1">
      <alignment horizontal="left" wrapText="1"/>
    </xf>
    <xf numFmtId="42" fontId="4" fillId="2" borderId="1" xfId="1" applyFont="1" applyFill="1" applyBorder="1" applyAlignment="1">
      <alignment horizontal="center" vertical="center"/>
    </xf>
    <xf numFmtId="42" fontId="2" fillId="2" borderId="0" xfId="0" applyNumberFormat="1" applyFont="1" applyFill="1" applyAlignment="1">
      <alignment horizontal="right"/>
    </xf>
    <xf numFmtId="42" fontId="8" fillId="2" borderId="1" xfId="1" applyFont="1" applyFill="1" applyBorder="1" applyAlignment="1">
      <alignment horizontal="right" vertical="center"/>
    </xf>
    <xf numFmtId="1" fontId="8" fillId="7" borderId="1" xfId="0" applyNumberFormat="1" applyFont="1" applyFill="1" applyBorder="1" applyAlignment="1">
      <alignment horizontal="center" vertical="center" wrapText="1"/>
    </xf>
    <xf numFmtId="1" fontId="8" fillId="7" borderId="1" xfId="0" applyNumberFormat="1" applyFont="1" applyFill="1" applyBorder="1" applyAlignment="1">
      <alignment horizontal="left"/>
    </xf>
    <xf numFmtId="1" fontId="8" fillId="7" borderId="1" xfId="0" applyNumberFormat="1" applyFont="1" applyFill="1" applyBorder="1" applyAlignment="1">
      <alignment horizontal="center" vertical="center"/>
    </xf>
    <xf numFmtId="42" fontId="8" fillId="7" borderId="1" xfId="1" applyFont="1" applyFill="1" applyBorder="1" applyAlignment="1">
      <alignment horizontal="center" vertical="center"/>
    </xf>
    <xf numFmtId="42" fontId="4" fillId="7" borderId="1" xfId="1" applyFont="1" applyFill="1" applyBorder="1"/>
    <xf numFmtId="42" fontId="4" fillId="2" borderId="0" xfId="1" applyFont="1" applyFill="1" applyBorder="1" applyAlignment="1">
      <alignment horizontal="center" vertical="center"/>
    </xf>
    <xf numFmtId="0" fontId="3" fillId="4" borderId="1" xfId="0" applyFont="1" applyFill="1" applyBorder="1" applyAlignment="1">
      <alignment horizontal="center"/>
    </xf>
    <xf numFmtId="0" fontId="6" fillId="3" borderId="0" xfId="0" applyFont="1" applyFill="1" applyAlignment="1">
      <alignment horizontal="left"/>
    </xf>
    <xf numFmtId="14" fontId="6" fillId="3" borderId="0" xfId="0" applyNumberFormat="1" applyFont="1" applyFill="1" applyAlignment="1">
      <alignment horizontal="left"/>
    </xf>
    <xf numFmtId="0" fontId="2" fillId="2" borderId="0" xfId="0" applyFont="1" applyFill="1" applyAlignment="1">
      <alignment horizontal="right"/>
    </xf>
    <xf numFmtId="0" fontId="7" fillId="0" borderId="2" xfId="0" applyFont="1" applyBorder="1" applyAlignment="1">
      <alignment horizontal="center" vertical="center"/>
    </xf>
    <xf numFmtId="0" fontId="7" fillId="0" borderId="7" xfId="0" applyFont="1" applyBorder="1" applyAlignment="1">
      <alignment horizontal="center" vertical="center"/>
    </xf>
    <xf numFmtId="0" fontId="7" fillId="0" borderId="3" xfId="0" applyFont="1" applyBorder="1" applyAlignment="1">
      <alignment horizontal="center" vertical="center"/>
    </xf>
    <xf numFmtId="1" fontId="8" fillId="0" borderId="2" xfId="0" applyNumberFormat="1" applyFont="1" applyBorder="1" applyAlignment="1">
      <alignment horizontal="center" vertical="center" wrapText="1"/>
    </xf>
    <xf numFmtId="1" fontId="8" fillId="0" borderId="3" xfId="0" applyNumberFormat="1" applyFont="1" applyBorder="1" applyAlignment="1">
      <alignment horizontal="center" vertical="center" wrapText="1"/>
    </xf>
    <xf numFmtId="0" fontId="10" fillId="3" borderId="0" xfId="0" applyFont="1" applyFill="1" applyAlignment="1">
      <alignment horizontal="left" vertical="center" wrapText="1"/>
    </xf>
    <xf numFmtId="0" fontId="13" fillId="3" borderId="0" xfId="0" applyFont="1" applyFill="1" applyAlignment="1">
      <alignment horizontal="left" vertical="center" wrapText="1"/>
    </xf>
    <xf numFmtId="0" fontId="13" fillId="3" borderId="0" xfId="0" applyFont="1" applyFill="1" applyAlignment="1">
      <alignment horizontal="left" vertical="center"/>
    </xf>
    <xf numFmtId="0" fontId="12" fillId="3" borderId="0" xfId="0" applyFont="1" applyFill="1" applyAlignment="1">
      <alignment vertical="center" wrapText="1"/>
    </xf>
    <xf numFmtId="1" fontId="8" fillId="0" borderId="7" xfId="0" applyNumberFormat="1" applyFont="1" applyBorder="1" applyAlignment="1">
      <alignment horizontal="center" vertical="center" wrapText="1"/>
    </xf>
    <xf numFmtId="42" fontId="8" fillId="2" borderId="2" xfId="1" applyFont="1" applyFill="1" applyBorder="1" applyAlignment="1">
      <alignment horizontal="center" vertical="center"/>
    </xf>
    <xf numFmtId="42" fontId="8" fillId="2" borderId="7" xfId="1" applyFont="1" applyFill="1" applyBorder="1" applyAlignment="1">
      <alignment horizontal="center" vertical="center"/>
    </xf>
    <xf numFmtId="42" fontId="8" fillId="2" borderId="3" xfId="1" applyFont="1" applyFill="1" applyBorder="1" applyAlignment="1">
      <alignment horizontal="center" vertical="center"/>
    </xf>
    <xf numFmtId="14" fontId="5" fillId="2" borderId="0" xfId="0" applyNumberFormat="1" applyFont="1" applyFill="1" applyAlignment="1">
      <alignment horizontal="center" vertical="center"/>
    </xf>
    <xf numFmtId="0" fontId="7" fillId="6" borderId="2" xfId="0" applyFont="1" applyFill="1" applyBorder="1" applyAlignment="1">
      <alignment horizontal="center" vertical="center"/>
    </xf>
    <xf numFmtId="0" fontId="7" fillId="6" borderId="7" xfId="0" applyFont="1" applyFill="1" applyBorder="1" applyAlignment="1">
      <alignment horizontal="center" vertical="center"/>
    </xf>
    <xf numFmtId="0" fontId="7" fillId="6" borderId="3"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7" xfId="0" applyFont="1" applyFill="1" applyBorder="1" applyAlignment="1">
      <alignment horizontal="center" vertical="center"/>
    </xf>
    <xf numFmtId="0" fontId="7" fillId="5" borderId="3" xfId="0" applyFont="1" applyFill="1" applyBorder="1" applyAlignment="1">
      <alignment horizontal="center" vertical="center"/>
    </xf>
  </cellXfs>
  <cellStyles count="2">
    <cellStyle name="Moneda [0]" xfId="1" builtinId="7"/>
    <cellStyle name="Normal" xfId="0" builtinId="0"/>
  </cellStyles>
  <dxfs count="0"/>
  <tableStyles count="0" defaultTableStyle="TableStyleMedium2" defaultPivotStyle="PivotStyleLight16"/>
  <colors>
    <mruColors>
      <color rgb="FFCC66FF"/>
      <color rgb="FF89E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274320</xdr:colOff>
      <xdr:row>1</xdr:row>
      <xdr:rowOff>152400</xdr:rowOff>
    </xdr:from>
    <xdr:to>
      <xdr:col>4</xdr:col>
      <xdr:colOff>869156</xdr:colOff>
      <xdr:row>4</xdr:row>
      <xdr:rowOff>89535</xdr:rowOff>
    </xdr:to>
    <xdr:pic>
      <xdr:nvPicPr>
        <xdr:cNvPr id="2" name="Imagen 1" descr="Imagen que contiene Logotipo&#10;&#10;Descripción generada automáticamente">
          <a:extLst>
            <a:ext uri="{FF2B5EF4-FFF2-40B4-BE49-F238E27FC236}">
              <a16:creationId xmlns:a16="http://schemas.microsoft.com/office/drawing/2014/main" id="{20148A13-BC9B-4B8C-A06F-2FA5120A758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645" y="390525"/>
          <a:ext cx="1709261" cy="6229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274320</xdr:colOff>
      <xdr:row>1</xdr:row>
      <xdr:rowOff>152400</xdr:rowOff>
    </xdr:from>
    <xdr:to>
      <xdr:col>4</xdr:col>
      <xdr:colOff>869156</xdr:colOff>
      <xdr:row>4</xdr:row>
      <xdr:rowOff>89535</xdr:rowOff>
    </xdr:to>
    <xdr:pic>
      <xdr:nvPicPr>
        <xdr:cNvPr id="2" name="Imagen 1" descr="Imagen que contiene Logotipo&#10;&#10;Descripción generada automáticamente">
          <a:extLst>
            <a:ext uri="{FF2B5EF4-FFF2-40B4-BE49-F238E27FC236}">
              <a16:creationId xmlns:a16="http://schemas.microsoft.com/office/drawing/2014/main" id="{BF8900C4-F899-4A9A-8BAB-5C99FE2683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645" y="390525"/>
          <a:ext cx="1709261" cy="6229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274320</xdr:colOff>
      <xdr:row>1</xdr:row>
      <xdr:rowOff>152400</xdr:rowOff>
    </xdr:from>
    <xdr:to>
      <xdr:col>4</xdr:col>
      <xdr:colOff>869156</xdr:colOff>
      <xdr:row>4</xdr:row>
      <xdr:rowOff>89535</xdr:rowOff>
    </xdr:to>
    <xdr:pic>
      <xdr:nvPicPr>
        <xdr:cNvPr id="2" name="Imagen 1" descr="Imagen que contiene Logotipo&#10;&#10;Descripción generada automáticamente">
          <a:extLst>
            <a:ext uri="{FF2B5EF4-FFF2-40B4-BE49-F238E27FC236}">
              <a16:creationId xmlns:a16="http://schemas.microsoft.com/office/drawing/2014/main" id="{AD1BE640-1CB6-4233-A725-7B4285D477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9645" y="390525"/>
          <a:ext cx="1706880" cy="62293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2B034-552A-4179-91A6-4FC52819F363}">
  <sheetPr>
    <tabColor theme="9" tint="0.79998168889431442"/>
  </sheetPr>
  <dimension ref="A1:AT50"/>
  <sheetViews>
    <sheetView topLeftCell="A16" zoomScale="85" zoomScaleNormal="85" workbookViewId="0">
      <selection activeCell="J24" sqref="J24"/>
    </sheetView>
  </sheetViews>
  <sheetFormatPr baseColWidth="10" defaultColWidth="11.5703125" defaultRowHeight="18" x14ac:dyDescent="0.35"/>
  <cols>
    <col min="1" max="1" width="11.5703125" style="2"/>
    <col min="2" max="2" width="3" style="2" customWidth="1"/>
    <col min="3" max="4" width="6.28515625" style="2" customWidth="1"/>
    <col min="5" max="5" width="23" style="48" customWidth="1"/>
    <col min="6" max="6" width="32" style="2" bestFit="1" customWidth="1"/>
    <col min="7" max="7" width="74" style="3" bestFit="1" customWidth="1"/>
    <col min="8" max="8" width="13.7109375" style="4" customWidth="1"/>
    <col min="9" max="9" width="19.5703125" style="5" bestFit="1" customWidth="1"/>
    <col min="10" max="10" width="18.28515625" style="5" bestFit="1" customWidth="1"/>
    <col min="11" max="11" width="3" style="2" customWidth="1"/>
    <col min="12" max="12" width="14.140625" style="2" bestFit="1" customWidth="1"/>
    <col min="13" max="13" width="11.5703125" style="2"/>
    <col min="14" max="14" width="14.140625" style="2" bestFit="1" customWidth="1"/>
    <col min="15" max="15" width="12.28515625" style="2" bestFit="1" customWidth="1"/>
    <col min="16" max="16384" width="11.5703125" style="2"/>
  </cols>
  <sheetData>
    <row r="1" spans="1:46" ht="18.75" thickBot="1" x14ac:dyDescent="0.4"/>
    <row r="2" spans="1:46" x14ac:dyDescent="0.35">
      <c r="B2" s="7"/>
      <c r="C2" s="8"/>
      <c r="D2" s="8"/>
      <c r="E2" s="49"/>
      <c r="F2" s="8"/>
      <c r="G2" s="9"/>
      <c r="H2" s="10"/>
      <c r="I2" s="11"/>
      <c r="J2" s="8"/>
      <c r="K2" s="12"/>
    </row>
    <row r="3" spans="1:46" x14ac:dyDescent="0.35">
      <c r="B3" s="13"/>
      <c r="H3" s="14"/>
      <c r="I3" s="15"/>
      <c r="J3" s="89" t="s">
        <v>17</v>
      </c>
      <c r="K3" s="16"/>
    </row>
    <row r="4" spans="1:46" x14ac:dyDescent="0.35">
      <c r="B4" s="13"/>
      <c r="H4" s="14"/>
      <c r="I4" s="15"/>
      <c r="J4" s="89"/>
      <c r="K4" s="16"/>
    </row>
    <row r="5" spans="1:46" x14ac:dyDescent="0.35">
      <c r="B5" s="13"/>
      <c r="H5" s="14"/>
      <c r="I5" s="15"/>
      <c r="J5" s="15"/>
      <c r="K5" s="16"/>
    </row>
    <row r="6" spans="1:46" ht="21.75" x14ac:dyDescent="0.4">
      <c r="B6" s="13"/>
      <c r="C6" s="90" t="s">
        <v>125</v>
      </c>
      <c r="D6" s="90"/>
      <c r="E6" s="90"/>
      <c r="F6" s="90"/>
      <c r="G6" s="90"/>
      <c r="H6" s="90"/>
      <c r="I6" s="90"/>
      <c r="J6" s="90"/>
      <c r="K6" s="16"/>
    </row>
    <row r="7" spans="1:46" ht="10.9" customHeight="1" x14ac:dyDescent="0.4">
      <c r="B7" s="13"/>
      <c r="C7" s="23"/>
      <c r="D7" s="23"/>
      <c r="E7" s="23"/>
      <c r="F7" s="23"/>
      <c r="G7" s="23"/>
      <c r="H7" s="23"/>
      <c r="I7" s="23"/>
      <c r="J7" s="23"/>
      <c r="K7" s="16"/>
    </row>
    <row r="8" spans="1:46" x14ac:dyDescent="0.35">
      <c r="B8" s="13"/>
      <c r="C8" s="42" t="s">
        <v>6</v>
      </c>
      <c r="D8" s="42"/>
      <c r="E8" s="50"/>
      <c r="F8" s="91" t="s">
        <v>51</v>
      </c>
      <c r="G8" s="91"/>
      <c r="H8" s="43" t="s">
        <v>25</v>
      </c>
      <c r="I8" s="91"/>
      <c r="J8" s="91"/>
      <c r="K8" s="16"/>
    </row>
    <row r="9" spans="1:46" x14ac:dyDescent="0.35">
      <c r="B9" s="13"/>
      <c r="C9" s="42" t="s">
        <v>7</v>
      </c>
      <c r="D9" s="42"/>
      <c r="E9" s="50"/>
      <c r="F9" s="91" t="s">
        <v>42</v>
      </c>
      <c r="G9" s="91"/>
      <c r="H9" s="43" t="s">
        <v>12</v>
      </c>
      <c r="I9" s="91" t="s">
        <v>53</v>
      </c>
      <c r="J9" s="91"/>
      <c r="K9" s="16"/>
    </row>
    <row r="10" spans="1:46" x14ac:dyDescent="0.35">
      <c r="B10" s="13"/>
      <c r="C10" s="42" t="s">
        <v>8</v>
      </c>
      <c r="D10" s="42"/>
      <c r="E10" s="50"/>
      <c r="F10" s="91"/>
      <c r="G10" s="91"/>
      <c r="H10" s="43" t="s">
        <v>13</v>
      </c>
      <c r="I10" s="91" t="s">
        <v>16</v>
      </c>
      <c r="J10" s="91"/>
      <c r="K10" s="16"/>
    </row>
    <row r="11" spans="1:46" x14ac:dyDescent="0.35">
      <c r="B11" s="13"/>
      <c r="C11" s="42" t="s">
        <v>11</v>
      </c>
      <c r="D11" s="42"/>
      <c r="E11" s="50"/>
      <c r="F11" s="91" t="s">
        <v>43</v>
      </c>
      <c r="G11" s="91"/>
      <c r="H11" s="43" t="s">
        <v>14</v>
      </c>
      <c r="I11" s="91"/>
      <c r="J11" s="91"/>
      <c r="K11" s="16"/>
    </row>
    <row r="12" spans="1:46" x14ac:dyDescent="0.35">
      <c r="B12" s="13"/>
      <c r="C12" s="42" t="s">
        <v>9</v>
      </c>
      <c r="D12" s="42"/>
      <c r="E12" s="50"/>
      <c r="F12" s="91" t="s">
        <v>52</v>
      </c>
      <c r="G12" s="91"/>
      <c r="H12" s="43" t="s">
        <v>15</v>
      </c>
      <c r="I12" s="91" t="s">
        <v>39</v>
      </c>
      <c r="J12" s="91"/>
      <c r="K12" s="16"/>
    </row>
    <row r="13" spans="1:46" x14ac:dyDescent="0.35">
      <c r="B13" s="13"/>
      <c r="C13" s="42" t="s">
        <v>10</v>
      </c>
      <c r="D13" s="42"/>
      <c r="E13" s="50"/>
      <c r="F13" s="92">
        <v>45569</v>
      </c>
      <c r="G13" s="92"/>
      <c r="H13" s="34"/>
      <c r="I13" s="36"/>
      <c r="J13" s="36"/>
      <c r="K13" s="16"/>
    </row>
    <row r="14" spans="1:46" ht="11.1" customHeight="1" x14ac:dyDescent="0.35">
      <c r="B14" s="13"/>
      <c r="H14" s="14"/>
      <c r="I14" s="15"/>
      <c r="J14" s="15"/>
      <c r="K14" s="16"/>
    </row>
    <row r="15" spans="1:46" x14ac:dyDescent="0.35">
      <c r="B15" s="13"/>
      <c r="C15" s="58" t="s">
        <v>18</v>
      </c>
      <c r="D15" s="58" t="s">
        <v>71</v>
      </c>
      <c r="E15" s="60" t="s">
        <v>19</v>
      </c>
      <c r="F15" s="59" t="s">
        <v>0</v>
      </c>
      <c r="G15" s="59" t="s">
        <v>20</v>
      </c>
      <c r="H15" s="58" t="s">
        <v>1</v>
      </c>
      <c r="I15" s="58" t="s">
        <v>21</v>
      </c>
      <c r="J15" s="58" t="s">
        <v>2</v>
      </c>
      <c r="K15" s="16"/>
    </row>
    <row r="16" spans="1:46" customFormat="1" ht="35.25" customHeight="1" x14ac:dyDescent="0.35">
      <c r="A16" s="2"/>
      <c r="B16" s="13"/>
      <c r="C16" s="64">
        <v>1</v>
      </c>
      <c r="D16" s="64">
        <v>-3</v>
      </c>
      <c r="E16" s="68" t="s">
        <v>81</v>
      </c>
      <c r="F16" s="55" t="s">
        <v>122</v>
      </c>
      <c r="G16" s="55" t="s">
        <v>72</v>
      </c>
      <c r="H16" s="56">
        <v>2</v>
      </c>
      <c r="I16" s="83">
        <v>241000</v>
      </c>
      <c r="J16" s="62">
        <f>+I16*H16</f>
        <v>482000</v>
      </c>
      <c r="K16" s="24"/>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2:13" x14ac:dyDescent="0.35">
      <c r="B17" s="13"/>
      <c r="C17" s="26">
        <v>2</v>
      </c>
      <c r="D17" s="73">
        <v>2</v>
      </c>
      <c r="E17" s="67" t="s">
        <v>50</v>
      </c>
      <c r="F17" s="63" t="s">
        <v>121</v>
      </c>
      <c r="G17" s="63" t="s">
        <v>74</v>
      </c>
      <c r="H17" s="56">
        <v>1</v>
      </c>
      <c r="I17" s="30">
        <v>212000</v>
      </c>
      <c r="J17" s="65">
        <f t="shared" ref="J17:J23" si="0">+I17*H17</f>
        <v>212000</v>
      </c>
      <c r="K17" s="16"/>
      <c r="M17" s="93"/>
    </row>
    <row r="18" spans="2:13" ht="30" x14ac:dyDescent="0.35">
      <c r="B18" s="13"/>
      <c r="C18" s="26">
        <v>3</v>
      </c>
      <c r="D18" s="94">
        <v>4</v>
      </c>
      <c r="E18" s="69" t="s">
        <v>82</v>
      </c>
      <c r="F18" s="77" t="s">
        <v>104</v>
      </c>
      <c r="G18" s="75" t="s">
        <v>105</v>
      </c>
      <c r="H18" s="76">
        <v>11</v>
      </c>
      <c r="I18" s="78">
        <v>2069000</v>
      </c>
      <c r="J18" s="79">
        <f t="shared" si="0"/>
        <v>22759000</v>
      </c>
      <c r="K18" s="16"/>
      <c r="M18" s="93"/>
    </row>
    <row r="19" spans="2:13" ht="30.75" x14ac:dyDescent="0.35">
      <c r="B19" s="13"/>
      <c r="C19" s="26">
        <v>4</v>
      </c>
      <c r="D19" s="95"/>
      <c r="E19" s="97" t="s">
        <v>85</v>
      </c>
      <c r="F19" s="63" t="s">
        <v>106</v>
      </c>
      <c r="G19" s="80" t="s">
        <v>107</v>
      </c>
      <c r="H19" s="56">
        <v>8</v>
      </c>
      <c r="I19" s="30">
        <v>364000</v>
      </c>
      <c r="J19" s="81">
        <f t="shared" si="0"/>
        <v>2912000</v>
      </c>
      <c r="K19" s="16"/>
      <c r="M19" s="93"/>
    </row>
    <row r="20" spans="2:13" ht="30.75" x14ac:dyDescent="0.35">
      <c r="B20" s="13"/>
      <c r="C20" s="64">
        <v>5</v>
      </c>
      <c r="D20" s="96"/>
      <c r="E20" s="98"/>
      <c r="F20" s="63" t="s">
        <v>108</v>
      </c>
      <c r="G20" s="80" t="s">
        <v>109</v>
      </c>
      <c r="H20" s="56">
        <v>9</v>
      </c>
      <c r="I20" s="30">
        <v>187000</v>
      </c>
      <c r="J20" s="31">
        <f t="shared" si="0"/>
        <v>1683000</v>
      </c>
      <c r="K20" s="16"/>
      <c r="M20" s="93"/>
    </row>
    <row r="21" spans="2:13" ht="30" x14ac:dyDescent="0.35">
      <c r="B21" s="13"/>
      <c r="C21" s="26">
        <v>6</v>
      </c>
      <c r="D21" s="94">
        <v>5</v>
      </c>
      <c r="E21" s="69" t="s">
        <v>88</v>
      </c>
      <c r="F21" s="63" t="s">
        <v>104</v>
      </c>
      <c r="G21" s="75" t="s">
        <v>110</v>
      </c>
      <c r="H21" s="56">
        <v>9</v>
      </c>
      <c r="I21" s="30">
        <v>1903400</v>
      </c>
      <c r="J21" s="31">
        <f t="shared" si="0"/>
        <v>17130600</v>
      </c>
      <c r="K21" s="16"/>
      <c r="M21" s="93"/>
    </row>
    <row r="22" spans="2:13" x14ac:dyDescent="0.35">
      <c r="B22" s="13"/>
      <c r="C22" s="26">
        <v>7</v>
      </c>
      <c r="D22" s="95"/>
      <c r="E22" s="84" t="s">
        <v>76</v>
      </c>
      <c r="F22" s="85" t="s">
        <v>118</v>
      </c>
      <c r="G22" s="85" t="s">
        <v>119</v>
      </c>
      <c r="H22" s="86">
        <v>1</v>
      </c>
      <c r="I22" s="87">
        <v>211000</v>
      </c>
      <c r="J22" s="88">
        <f t="shared" si="0"/>
        <v>211000</v>
      </c>
      <c r="K22" s="16"/>
      <c r="M22" s="93"/>
    </row>
    <row r="23" spans="2:13" ht="30" x14ac:dyDescent="0.35">
      <c r="B23" s="13"/>
      <c r="C23" s="64">
        <v>8</v>
      </c>
      <c r="D23" s="96"/>
      <c r="E23" s="68" t="s">
        <v>89</v>
      </c>
      <c r="F23" s="63" t="s">
        <v>111</v>
      </c>
      <c r="G23" s="63" t="s">
        <v>112</v>
      </c>
      <c r="H23" s="56">
        <v>2</v>
      </c>
      <c r="I23" s="30">
        <v>293400</v>
      </c>
      <c r="J23" s="31">
        <f t="shared" si="0"/>
        <v>586800</v>
      </c>
      <c r="K23" s="16"/>
      <c r="M23" s="93"/>
    </row>
    <row r="24" spans="2:13" x14ac:dyDescent="0.35">
      <c r="B24" s="13"/>
      <c r="C24" s="32"/>
      <c r="D24" s="32"/>
      <c r="E24" s="51"/>
      <c r="F24" s="32"/>
      <c r="G24" s="33"/>
      <c r="H24" s="34"/>
      <c r="I24" s="66" t="s">
        <v>2</v>
      </c>
      <c r="J24" s="66">
        <f>SUM(J16:J23)</f>
        <v>45976400</v>
      </c>
      <c r="K24" s="16"/>
    </row>
    <row r="25" spans="2:13" x14ac:dyDescent="0.35">
      <c r="B25" s="13"/>
      <c r="C25" s="32"/>
      <c r="D25" s="32"/>
      <c r="E25" s="51"/>
      <c r="F25" s="32"/>
      <c r="G25" s="33"/>
      <c r="H25" s="34"/>
      <c r="I25" s="36"/>
      <c r="J25" s="36"/>
      <c r="K25" s="16"/>
    </row>
    <row r="26" spans="2:13" x14ac:dyDescent="0.35">
      <c r="B26" s="13"/>
      <c r="C26" s="32"/>
      <c r="D26" s="32"/>
      <c r="E26" s="51"/>
      <c r="F26" s="32"/>
      <c r="G26" s="33"/>
      <c r="H26" s="34"/>
      <c r="I26" s="37" t="s">
        <v>23</v>
      </c>
      <c r="J26" s="38">
        <f>+J24*15%</f>
        <v>6896460</v>
      </c>
      <c r="K26" s="16"/>
    </row>
    <row r="27" spans="2:13" x14ac:dyDescent="0.35">
      <c r="B27" s="13"/>
      <c r="C27" s="32"/>
      <c r="D27" s="32"/>
      <c r="E27" s="51"/>
      <c r="F27" s="32"/>
      <c r="G27" s="33"/>
      <c r="H27" s="34"/>
      <c r="I27" s="39" t="s">
        <v>3</v>
      </c>
      <c r="J27" s="40">
        <f>+J24-J26</f>
        <v>39079940</v>
      </c>
      <c r="K27" s="16"/>
    </row>
    <row r="28" spans="2:13" x14ac:dyDescent="0.35">
      <c r="B28" s="13"/>
      <c r="C28" s="32"/>
      <c r="D28" s="32"/>
      <c r="E28" s="51"/>
      <c r="G28" s="2"/>
      <c r="H28" s="34"/>
      <c r="I28" s="39" t="s">
        <v>44</v>
      </c>
      <c r="J28" s="40">
        <f>+J24*4%</f>
        <v>1839056</v>
      </c>
      <c r="K28" s="16"/>
    </row>
    <row r="29" spans="2:13" x14ac:dyDescent="0.35">
      <c r="B29" s="13"/>
      <c r="C29" s="32"/>
      <c r="D29" s="32"/>
      <c r="E29" s="51"/>
      <c r="F29" s="32"/>
      <c r="G29" s="33"/>
      <c r="H29" s="34"/>
      <c r="I29" s="41" t="s">
        <v>45</v>
      </c>
      <c r="J29" s="29">
        <f>+J24*3%</f>
        <v>1379292</v>
      </c>
      <c r="K29" s="16"/>
    </row>
    <row r="30" spans="2:13" x14ac:dyDescent="0.35">
      <c r="B30" s="13"/>
      <c r="C30" s="32"/>
      <c r="D30" s="32"/>
      <c r="E30" s="51"/>
      <c r="F30" s="32"/>
      <c r="G30" s="33"/>
      <c r="H30" s="34"/>
      <c r="I30" s="39" t="s">
        <v>4</v>
      </c>
      <c r="J30" s="40">
        <f>SUM(J27:J29)</f>
        <v>42298288</v>
      </c>
      <c r="K30" s="16"/>
    </row>
    <row r="31" spans="2:13" x14ac:dyDescent="0.35">
      <c r="B31" s="13"/>
      <c r="C31" s="32"/>
      <c r="D31" s="32"/>
      <c r="E31" s="51"/>
      <c r="F31" s="32"/>
      <c r="G31" s="33"/>
      <c r="H31" s="34"/>
      <c r="I31" s="39" t="s">
        <v>24</v>
      </c>
      <c r="J31" s="40">
        <f>+J30*19%</f>
        <v>8036674.7199999997</v>
      </c>
      <c r="K31" s="16"/>
    </row>
    <row r="32" spans="2:13" x14ac:dyDescent="0.35">
      <c r="B32" s="13"/>
      <c r="C32" s="32"/>
      <c r="D32" s="32"/>
      <c r="E32" s="51"/>
      <c r="F32" s="32"/>
      <c r="G32" s="33"/>
      <c r="H32" s="34"/>
      <c r="I32" s="31" t="s">
        <v>5</v>
      </c>
      <c r="J32" s="31">
        <f>SUM(J30:J31)</f>
        <v>50334962.719999999</v>
      </c>
      <c r="K32" s="16"/>
    </row>
    <row r="33" spans="2:12" ht="18.75" thickBot="1" x14ac:dyDescent="0.4">
      <c r="B33" s="17"/>
      <c r="C33" s="18"/>
      <c r="D33" s="18"/>
      <c r="E33" s="52"/>
      <c r="F33" s="18"/>
      <c r="G33" s="19"/>
      <c r="H33" s="20"/>
      <c r="I33" s="21"/>
      <c r="J33" s="21"/>
      <c r="K33" s="22"/>
    </row>
    <row r="35" spans="2:12" x14ac:dyDescent="0.35">
      <c r="B35" s="46" t="s">
        <v>26</v>
      </c>
      <c r="C35" s="44"/>
      <c r="D35" s="44"/>
      <c r="E35" s="45"/>
      <c r="F35" s="44"/>
      <c r="G35" s="44"/>
      <c r="H35" s="44"/>
      <c r="I35" s="44"/>
      <c r="J35" s="44"/>
      <c r="K35" s="44"/>
      <c r="L35" s="44"/>
    </row>
    <row r="36" spans="2:12" x14ac:dyDescent="0.35">
      <c r="B36" s="101" t="s">
        <v>27</v>
      </c>
      <c r="C36" s="101"/>
      <c r="D36" s="101"/>
      <c r="E36" s="101"/>
      <c r="F36" s="101"/>
      <c r="G36" s="101"/>
      <c r="H36" s="101"/>
      <c r="I36" s="101"/>
      <c r="J36" s="101"/>
      <c r="K36" s="101"/>
      <c r="L36" s="44"/>
    </row>
    <row r="37" spans="2:12" ht="56.45" customHeight="1" x14ac:dyDescent="0.35">
      <c r="B37" s="102" t="s">
        <v>28</v>
      </c>
      <c r="C37" s="102"/>
      <c r="D37" s="102"/>
      <c r="E37" s="102"/>
      <c r="F37" s="102"/>
      <c r="G37" s="102"/>
      <c r="H37" s="102"/>
      <c r="I37" s="102"/>
      <c r="J37" s="102"/>
      <c r="K37" s="102"/>
      <c r="L37" s="47"/>
    </row>
    <row r="38" spans="2:12" ht="19.149999999999999" customHeight="1" x14ac:dyDescent="0.35">
      <c r="B38" s="100" t="s">
        <v>29</v>
      </c>
      <c r="C38" s="100"/>
      <c r="D38" s="100"/>
      <c r="E38" s="100"/>
      <c r="F38" s="100"/>
      <c r="G38" s="100"/>
      <c r="H38" s="100"/>
      <c r="I38" s="100"/>
      <c r="J38" s="100"/>
      <c r="K38" s="100"/>
      <c r="L38" s="100"/>
    </row>
    <row r="39" spans="2:12" ht="53.45" customHeight="1" x14ac:dyDescent="0.35">
      <c r="B39" s="99" t="s">
        <v>30</v>
      </c>
      <c r="C39" s="99"/>
      <c r="D39" s="99"/>
      <c r="E39" s="99"/>
      <c r="F39" s="99"/>
      <c r="G39" s="99"/>
      <c r="H39" s="99"/>
      <c r="I39" s="99"/>
      <c r="J39" s="99"/>
      <c r="K39" s="99"/>
      <c r="L39" s="47"/>
    </row>
    <row r="40" spans="2:12" x14ac:dyDescent="0.35">
      <c r="B40" s="100" t="s">
        <v>31</v>
      </c>
      <c r="C40" s="100"/>
      <c r="D40" s="100"/>
      <c r="E40" s="100"/>
      <c r="F40" s="100"/>
      <c r="G40" s="100"/>
      <c r="H40" s="100"/>
      <c r="I40" s="100"/>
      <c r="J40" s="100"/>
      <c r="K40" s="100"/>
      <c r="L40" s="100"/>
    </row>
    <row r="41" spans="2:12" ht="47.45" customHeight="1" x14ac:dyDescent="0.35">
      <c r="B41" s="99" t="s">
        <v>32</v>
      </c>
      <c r="C41" s="99"/>
      <c r="D41" s="99"/>
      <c r="E41" s="99"/>
      <c r="F41" s="99"/>
      <c r="G41" s="99"/>
      <c r="H41" s="99"/>
      <c r="I41" s="99"/>
      <c r="J41" s="99"/>
      <c r="K41" s="99"/>
      <c r="L41" s="47"/>
    </row>
    <row r="42" spans="2:12" x14ac:dyDescent="0.35">
      <c r="B42" s="100" t="s">
        <v>33</v>
      </c>
      <c r="C42" s="100"/>
      <c r="D42" s="100"/>
      <c r="E42" s="100"/>
      <c r="F42" s="100"/>
      <c r="G42" s="100"/>
      <c r="H42" s="100"/>
      <c r="I42" s="100"/>
      <c r="J42" s="100"/>
      <c r="K42" s="100"/>
      <c r="L42" s="100"/>
    </row>
    <row r="43" spans="2:12" ht="60" customHeight="1" x14ac:dyDescent="0.35">
      <c r="B43" s="99" t="s">
        <v>34</v>
      </c>
      <c r="C43" s="99"/>
      <c r="D43" s="99"/>
      <c r="E43" s="99"/>
      <c r="F43" s="99"/>
      <c r="G43" s="99"/>
      <c r="H43" s="99"/>
      <c r="I43" s="99"/>
      <c r="J43" s="99"/>
      <c r="K43" s="99"/>
      <c r="L43" s="47"/>
    </row>
    <row r="44" spans="2:12" x14ac:dyDescent="0.35">
      <c r="B44" s="100" t="s">
        <v>35</v>
      </c>
      <c r="C44" s="100"/>
      <c r="D44" s="100"/>
      <c r="E44" s="100"/>
      <c r="F44" s="100"/>
      <c r="G44" s="100"/>
      <c r="H44" s="100"/>
      <c r="I44" s="100"/>
      <c r="J44" s="100"/>
      <c r="K44" s="100"/>
      <c r="L44" s="100"/>
    </row>
    <row r="45" spans="2:12" ht="29.45" customHeight="1" x14ac:dyDescent="0.35">
      <c r="B45" s="99" t="s">
        <v>36</v>
      </c>
      <c r="C45" s="99"/>
      <c r="D45" s="99"/>
      <c r="E45" s="99"/>
      <c r="F45" s="99"/>
      <c r="G45" s="99"/>
      <c r="H45" s="99"/>
      <c r="I45" s="99"/>
      <c r="J45" s="99"/>
      <c r="K45" s="99"/>
      <c r="L45" s="47"/>
    </row>
    <row r="46" spans="2:12" x14ac:dyDescent="0.35">
      <c r="B46" s="100" t="s">
        <v>37</v>
      </c>
      <c r="C46" s="100"/>
      <c r="D46" s="100"/>
      <c r="E46" s="100"/>
      <c r="F46" s="100"/>
      <c r="G46" s="100"/>
      <c r="H46" s="100"/>
      <c r="I46" s="100"/>
      <c r="J46" s="100"/>
      <c r="K46" s="100"/>
      <c r="L46" s="100"/>
    </row>
    <row r="47" spans="2:12" ht="31.9" customHeight="1" x14ac:dyDescent="0.35">
      <c r="B47" s="99" t="s">
        <v>38</v>
      </c>
      <c r="C47" s="99"/>
      <c r="D47" s="99"/>
      <c r="E47" s="99"/>
      <c r="F47" s="99"/>
      <c r="G47" s="99"/>
      <c r="H47" s="99"/>
      <c r="I47" s="99"/>
      <c r="J47" s="99"/>
      <c r="K47" s="99"/>
      <c r="L47" s="47"/>
    </row>
    <row r="48" spans="2:12" x14ac:dyDescent="0.35">
      <c r="B48" s="45"/>
      <c r="C48" s="44"/>
      <c r="D48" s="44"/>
      <c r="E48" s="45"/>
      <c r="F48" s="44"/>
      <c r="G48" s="44"/>
      <c r="H48" s="44"/>
      <c r="I48" s="44"/>
      <c r="J48" s="44"/>
      <c r="K48" s="44"/>
      <c r="L48" s="44"/>
    </row>
    <row r="49" spans="2:12" x14ac:dyDescent="0.35">
      <c r="B49" s="53" t="s">
        <v>40</v>
      </c>
      <c r="C49" s="44"/>
      <c r="D49" s="44"/>
      <c r="E49" s="45"/>
      <c r="F49" s="44"/>
      <c r="G49" s="44"/>
      <c r="H49" s="44"/>
      <c r="I49" s="44"/>
      <c r="J49" s="44"/>
      <c r="K49" s="44"/>
      <c r="L49" s="44"/>
    </row>
    <row r="50" spans="2:12" x14ac:dyDescent="0.35">
      <c r="B50" s="54" t="s">
        <v>41</v>
      </c>
      <c r="C50" s="44"/>
      <c r="D50" s="44"/>
      <c r="E50" s="45"/>
      <c r="F50" s="44"/>
      <c r="G50" s="44"/>
      <c r="H50" s="44"/>
      <c r="I50" s="44"/>
      <c r="J50" s="44"/>
      <c r="K50" s="44"/>
      <c r="L50" s="44"/>
    </row>
  </sheetData>
  <mergeCells count="29">
    <mergeCell ref="B36:K36"/>
    <mergeCell ref="B37:K37"/>
    <mergeCell ref="B38:L38"/>
    <mergeCell ref="B39:K39"/>
    <mergeCell ref="B46:L46"/>
    <mergeCell ref="B47:K47"/>
    <mergeCell ref="B40:L40"/>
    <mergeCell ref="B41:K41"/>
    <mergeCell ref="B42:L42"/>
    <mergeCell ref="B43:K43"/>
    <mergeCell ref="B44:L44"/>
    <mergeCell ref="B45:K45"/>
    <mergeCell ref="F13:G13"/>
    <mergeCell ref="M17:M23"/>
    <mergeCell ref="D18:D20"/>
    <mergeCell ref="D21:D23"/>
    <mergeCell ref="F10:G10"/>
    <mergeCell ref="I10:J10"/>
    <mergeCell ref="F11:G11"/>
    <mergeCell ref="I11:J11"/>
    <mergeCell ref="F12:G12"/>
    <mergeCell ref="I12:J12"/>
    <mergeCell ref="E19:E20"/>
    <mergeCell ref="J3:J4"/>
    <mergeCell ref="C6:J6"/>
    <mergeCell ref="F8:G8"/>
    <mergeCell ref="I8:J8"/>
    <mergeCell ref="F9:G9"/>
    <mergeCell ref="I9:J9"/>
  </mergeCells>
  <pageMargins left="0.23622047244094491" right="0.23622047244094491" top="0.74803149606299213" bottom="0.74803149606299213" header="0.31496062992125984" footer="0.31496062992125984"/>
  <pageSetup scale="50" fitToWidth="4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429F1-1D4F-4A7C-A9FE-547A17E443CA}">
  <sheetPr>
    <tabColor theme="9" tint="0.79998168889431442"/>
    <pageSetUpPr fitToPage="1"/>
  </sheetPr>
  <dimension ref="A1:AT57"/>
  <sheetViews>
    <sheetView tabSelected="1" topLeftCell="A19" zoomScale="85" zoomScaleNormal="85" workbookViewId="0">
      <selection activeCell="G37" sqref="G37"/>
    </sheetView>
  </sheetViews>
  <sheetFormatPr baseColWidth="10" defaultColWidth="11.5703125" defaultRowHeight="18" x14ac:dyDescent="0.35"/>
  <cols>
    <col min="1" max="1" width="11.5703125" style="2"/>
    <col min="2" max="2" width="3" style="2" customWidth="1"/>
    <col min="3" max="4" width="6.28515625" style="2" customWidth="1"/>
    <col min="5" max="5" width="23" style="48" customWidth="1"/>
    <col min="6" max="6" width="32" style="2" bestFit="1" customWidth="1"/>
    <col min="7" max="7" width="74" style="3" bestFit="1" customWidth="1"/>
    <col min="8" max="8" width="13.7109375" style="4" customWidth="1"/>
    <col min="9" max="9" width="19.5703125" style="5" bestFit="1" customWidth="1"/>
    <col min="10" max="10" width="18.28515625" style="5" bestFit="1" customWidth="1"/>
    <col min="11" max="11" width="3" style="2" customWidth="1"/>
    <col min="12" max="12" width="12.7109375" style="2" bestFit="1" customWidth="1"/>
    <col min="13" max="13" width="12.140625" style="2" bestFit="1" customWidth="1"/>
    <col min="14" max="16384" width="11.5703125" style="2"/>
  </cols>
  <sheetData>
    <row r="1" spans="1:46" ht="18.75" thickBot="1" x14ac:dyDescent="0.4"/>
    <row r="2" spans="1:46" x14ac:dyDescent="0.35">
      <c r="B2" s="7"/>
      <c r="C2" s="8"/>
      <c r="D2" s="8"/>
      <c r="E2" s="49"/>
      <c r="F2" s="8"/>
      <c r="G2" s="9"/>
      <c r="H2" s="10"/>
      <c r="I2" s="11"/>
      <c r="J2" s="8"/>
      <c r="K2" s="12"/>
    </row>
    <row r="3" spans="1:46" x14ac:dyDescent="0.35">
      <c r="B3" s="13"/>
      <c r="H3" s="14"/>
      <c r="I3" s="15"/>
      <c r="J3" s="89" t="s">
        <v>17</v>
      </c>
      <c r="K3" s="16"/>
    </row>
    <row r="4" spans="1:46" x14ac:dyDescent="0.35">
      <c r="B4" s="13"/>
      <c r="H4" s="14"/>
      <c r="I4" s="15"/>
      <c r="J4" s="89"/>
      <c r="K4" s="16"/>
    </row>
    <row r="5" spans="1:46" x14ac:dyDescent="0.35">
      <c r="B5" s="13"/>
      <c r="H5" s="14"/>
      <c r="I5" s="15"/>
      <c r="J5" s="15"/>
      <c r="K5" s="16"/>
    </row>
    <row r="6" spans="1:46" ht="21.75" x14ac:dyDescent="0.4">
      <c r="B6" s="13"/>
      <c r="C6" s="90" t="s">
        <v>126</v>
      </c>
      <c r="D6" s="90"/>
      <c r="E6" s="90"/>
      <c r="F6" s="90"/>
      <c r="G6" s="90"/>
      <c r="H6" s="90"/>
      <c r="I6" s="90"/>
      <c r="J6" s="90"/>
      <c r="K6" s="16"/>
    </row>
    <row r="7" spans="1:46" ht="10.9" customHeight="1" x14ac:dyDescent="0.4">
      <c r="B7" s="13"/>
      <c r="C7" s="23"/>
      <c r="D7" s="23"/>
      <c r="E7" s="23"/>
      <c r="F7" s="23"/>
      <c r="G7" s="23"/>
      <c r="H7" s="23"/>
      <c r="I7" s="23"/>
      <c r="J7" s="23"/>
      <c r="K7" s="16"/>
    </row>
    <row r="8" spans="1:46" x14ac:dyDescent="0.35">
      <c r="B8" s="13"/>
      <c r="C8" s="42" t="s">
        <v>6</v>
      </c>
      <c r="D8" s="42"/>
      <c r="E8" s="50"/>
      <c r="F8" s="91" t="s">
        <v>51</v>
      </c>
      <c r="G8" s="91"/>
      <c r="H8" s="43" t="s">
        <v>25</v>
      </c>
      <c r="I8" s="91"/>
      <c r="J8" s="91"/>
      <c r="K8" s="16"/>
    </row>
    <row r="9" spans="1:46" x14ac:dyDescent="0.35">
      <c r="B9" s="13"/>
      <c r="C9" s="42" t="s">
        <v>7</v>
      </c>
      <c r="D9" s="42"/>
      <c r="E9" s="50"/>
      <c r="F9" s="91" t="s">
        <v>42</v>
      </c>
      <c r="G9" s="91"/>
      <c r="H9" s="43" t="s">
        <v>12</v>
      </c>
      <c r="I9" s="91" t="s">
        <v>53</v>
      </c>
      <c r="J9" s="91"/>
      <c r="K9" s="16"/>
    </row>
    <row r="10" spans="1:46" x14ac:dyDescent="0.35">
      <c r="B10" s="13"/>
      <c r="C10" s="42" t="s">
        <v>8</v>
      </c>
      <c r="D10" s="42"/>
      <c r="E10" s="50"/>
      <c r="F10" s="91"/>
      <c r="G10" s="91"/>
      <c r="H10" s="43" t="s">
        <v>13</v>
      </c>
      <c r="I10" s="91" t="s">
        <v>16</v>
      </c>
      <c r="J10" s="91"/>
      <c r="K10" s="16"/>
    </row>
    <row r="11" spans="1:46" x14ac:dyDescent="0.35">
      <c r="B11" s="13"/>
      <c r="C11" s="42" t="s">
        <v>11</v>
      </c>
      <c r="D11" s="42"/>
      <c r="E11" s="50"/>
      <c r="F11" s="91" t="s">
        <v>43</v>
      </c>
      <c r="G11" s="91"/>
      <c r="H11" s="43" t="s">
        <v>14</v>
      </c>
      <c r="I11" s="91"/>
      <c r="J11" s="91"/>
      <c r="K11" s="16"/>
    </row>
    <row r="12" spans="1:46" x14ac:dyDescent="0.35">
      <c r="B12" s="13"/>
      <c r="C12" s="42" t="s">
        <v>9</v>
      </c>
      <c r="D12" s="42"/>
      <c r="E12" s="50"/>
      <c r="F12" s="91" t="s">
        <v>52</v>
      </c>
      <c r="G12" s="91"/>
      <c r="H12" s="43" t="s">
        <v>15</v>
      </c>
      <c r="I12" s="91" t="s">
        <v>39</v>
      </c>
      <c r="J12" s="91"/>
      <c r="K12" s="16"/>
    </row>
    <row r="13" spans="1:46" x14ac:dyDescent="0.35">
      <c r="B13" s="13"/>
      <c r="C13" s="42" t="s">
        <v>10</v>
      </c>
      <c r="D13" s="42"/>
      <c r="E13" s="50"/>
      <c r="F13" s="92">
        <v>45565</v>
      </c>
      <c r="G13" s="92"/>
      <c r="H13" s="34"/>
      <c r="I13" s="36"/>
      <c r="J13" s="36"/>
      <c r="K13" s="16"/>
    </row>
    <row r="14" spans="1:46" ht="11.1" customHeight="1" x14ac:dyDescent="0.35">
      <c r="B14" s="13"/>
      <c r="H14" s="14"/>
      <c r="I14" s="15"/>
      <c r="J14" s="15"/>
      <c r="K14" s="16"/>
    </row>
    <row r="15" spans="1:46" x14ac:dyDescent="0.35">
      <c r="B15" s="13"/>
      <c r="C15" s="58" t="s">
        <v>18</v>
      </c>
      <c r="D15" s="58" t="s">
        <v>71</v>
      </c>
      <c r="E15" s="60" t="s">
        <v>19</v>
      </c>
      <c r="F15" s="59" t="s">
        <v>0</v>
      </c>
      <c r="G15" s="59" t="s">
        <v>20</v>
      </c>
      <c r="H15" s="58" t="s">
        <v>1</v>
      </c>
      <c r="I15" s="58" t="s">
        <v>21</v>
      </c>
      <c r="J15" s="58" t="s">
        <v>2</v>
      </c>
      <c r="K15" s="16"/>
    </row>
    <row r="16" spans="1:46" customFormat="1" ht="18" customHeight="1" x14ac:dyDescent="0.35">
      <c r="A16" s="2"/>
      <c r="B16" s="13"/>
      <c r="C16" s="26">
        <v>1</v>
      </c>
      <c r="D16" s="94">
        <v>3</v>
      </c>
      <c r="E16" s="97" t="s">
        <v>73</v>
      </c>
      <c r="F16" s="63" t="s">
        <v>113</v>
      </c>
      <c r="G16" s="63" t="s">
        <v>74</v>
      </c>
      <c r="H16" s="56">
        <v>1</v>
      </c>
      <c r="I16" s="27">
        <v>212000</v>
      </c>
      <c r="J16" s="28">
        <f>+I16*H16</f>
        <v>212000</v>
      </c>
      <c r="K16" s="25"/>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2:13" x14ac:dyDescent="0.35">
      <c r="B17" s="13"/>
      <c r="C17" s="26">
        <v>2</v>
      </c>
      <c r="D17" s="95"/>
      <c r="E17" s="103"/>
      <c r="F17" s="63" t="s">
        <v>114</v>
      </c>
      <c r="G17" s="63" t="s">
        <v>115</v>
      </c>
      <c r="H17" s="56">
        <v>4</v>
      </c>
      <c r="I17" s="30">
        <v>293400</v>
      </c>
      <c r="J17" s="31">
        <f>+I17*H17</f>
        <v>1173600</v>
      </c>
      <c r="K17" s="16"/>
      <c r="L17" s="74"/>
      <c r="M17" s="82"/>
    </row>
    <row r="18" spans="2:13" x14ac:dyDescent="0.35">
      <c r="B18" s="13"/>
      <c r="C18" s="64">
        <v>3</v>
      </c>
      <c r="D18" s="95"/>
      <c r="E18" s="98"/>
      <c r="F18" s="63" t="s">
        <v>116</v>
      </c>
      <c r="G18" s="63" t="s">
        <v>66</v>
      </c>
      <c r="H18" s="56">
        <v>4</v>
      </c>
      <c r="I18" s="30">
        <v>166000</v>
      </c>
      <c r="J18" s="31">
        <f t="shared" ref="J18:J22" si="0">+I18*H18</f>
        <v>664000</v>
      </c>
      <c r="K18" s="16"/>
      <c r="M18" s="93"/>
    </row>
    <row r="19" spans="2:13" x14ac:dyDescent="0.35">
      <c r="B19" s="13"/>
      <c r="C19" s="64">
        <v>4</v>
      </c>
      <c r="D19" s="95"/>
      <c r="E19" s="97" t="s">
        <v>75</v>
      </c>
      <c r="F19" s="63" t="s">
        <v>116</v>
      </c>
      <c r="G19" s="63" t="s">
        <v>66</v>
      </c>
      <c r="H19" s="56">
        <v>2</v>
      </c>
      <c r="I19" s="30">
        <v>166000</v>
      </c>
      <c r="J19" s="31">
        <f t="shared" si="0"/>
        <v>332000</v>
      </c>
      <c r="K19" s="16"/>
      <c r="M19" s="93"/>
    </row>
    <row r="20" spans="2:13" x14ac:dyDescent="0.35">
      <c r="B20" s="13"/>
      <c r="C20" s="26">
        <v>5</v>
      </c>
      <c r="D20" s="95"/>
      <c r="E20" s="98"/>
      <c r="F20" s="55" t="s">
        <v>117</v>
      </c>
      <c r="G20" s="55" t="s">
        <v>67</v>
      </c>
      <c r="H20" s="56">
        <v>1</v>
      </c>
      <c r="I20" s="30">
        <v>164000</v>
      </c>
      <c r="J20" s="31">
        <f t="shared" si="0"/>
        <v>164000</v>
      </c>
      <c r="K20" s="16"/>
      <c r="M20" s="93"/>
    </row>
    <row r="21" spans="2:13" x14ac:dyDescent="0.35">
      <c r="B21" s="13"/>
      <c r="C21" s="26">
        <v>6</v>
      </c>
      <c r="D21" s="95"/>
      <c r="E21" s="69" t="s">
        <v>76</v>
      </c>
      <c r="F21" s="63" t="s">
        <v>118</v>
      </c>
      <c r="G21" s="63" t="s">
        <v>119</v>
      </c>
      <c r="H21" s="56">
        <v>1</v>
      </c>
      <c r="I21" s="30">
        <v>211000</v>
      </c>
      <c r="J21" s="31">
        <f t="shared" si="0"/>
        <v>211000</v>
      </c>
      <c r="K21" s="16"/>
      <c r="M21" s="93"/>
    </row>
    <row r="22" spans="2:13" x14ac:dyDescent="0.35">
      <c r="B22" s="13"/>
      <c r="C22" s="64">
        <v>7</v>
      </c>
      <c r="D22" s="95"/>
      <c r="E22" s="69" t="s">
        <v>77</v>
      </c>
      <c r="F22" s="63" t="s">
        <v>111</v>
      </c>
      <c r="G22" s="63" t="s">
        <v>115</v>
      </c>
      <c r="H22" s="56">
        <v>1</v>
      </c>
      <c r="I22" s="57">
        <v>293400</v>
      </c>
      <c r="J22" s="31">
        <f t="shared" si="0"/>
        <v>293400</v>
      </c>
      <c r="K22" s="16"/>
      <c r="M22" s="70"/>
    </row>
    <row r="23" spans="2:13" x14ac:dyDescent="0.35">
      <c r="B23" s="13"/>
      <c r="C23" s="64">
        <v>8</v>
      </c>
      <c r="D23" s="95"/>
      <c r="E23" s="97" t="s">
        <v>78</v>
      </c>
      <c r="F23" s="63" t="s">
        <v>116</v>
      </c>
      <c r="G23" s="63" t="s">
        <v>66</v>
      </c>
      <c r="H23" s="56">
        <v>1</v>
      </c>
      <c r="I23" s="30">
        <v>166000</v>
      </c>
      <c r="J23" s="31">
        <f>+I23*H23</f>
        <v>166000</v>
      </c>
      <c r="K23" s="16"/>
      <c r="M23" s="70"/>
    </row>
    <row r="24" spans="2:13" x14ac:dyDescent="0.35">
      <c r="B24" s="13"/>
      <c r="C24" s="26">
        <v>9</v>
      </c>
      <c r="D24" s="95"/>
      <c r="E24" s="103"/>
      <c r="F24" s="63" t="s">
        <v>111</v>
      </c>
      <c r="G24" s="63" t="s">
        <v>120</v>
      </c>
      <c r="H24" s="56">
        <v>1</v>
      </c>
      <c r="I24" s="30">
        <v>377600</v>
      </c>
      <c r="J24" s="31">
        <f t="shared" ref="J24" si="1">+I24*H24</f>
        <v>377600</v>
      </c>
      <c r="K24" s="16"/>
      <c r="M24" s="70"/>
    </row>
    <row r="25" spans="2:13" x14ac:dyDescent="0.35">
      <c r="B25" s="13"/>
      <c r="C25" s="26">
        <v>10</v>
      </c>
      <c r="D25" s="95"/>
      <c r="E25" s="69" t="s">
        <v>47</v>
      </c>
      <c r="F25" s="63" t="s">
        <v>111</v>
      </c>
      <c r="G25" s="63" t="s">
        <v>120</v>
      </c>
      <c r="H25" s="56">
        <v>1</v>
      </c>
      <c r="I25" s="30">
        <v>377600</v>
      </c>
      <c r="J25" s="31">
        <f>+I25*H25</f>
        <v>377600</v>
      </c>
      <c r="K25" s="16"/>
      <c r="M25" s="70"/>
    </row>
    <row r="26" spans="2:13" x14ac:dyDescent="0.35">
      <c r="B26" s="13"/>
      <c r="C26" s="64">
        <v>11</v>
      </c>
      <c r="D26" s="95"/>
      <c r="E26" s="97" t="s">
        <v>80</v>
      </c>
      <c r="F26" s="63" t="s">
        <v>116</v>
      </c>
      <c r="G26" s="63" t="s">
        <v>66</v>
      </c>
      <c r="H26" s="56">
        <v>1</v>
      </c>
      <c r="I26" s="30">
        <v>166000</v>
      </c>
      <c r="J26" s="31">
        <f t="shared" ref="J26:J27" si="2">+I26*H26</f>
        <v>166000</v>
      </c>
      <c r="K26" s="16"/>
      <c r="M26" s="93"/>
    </row>
    <row r="27" spans="2:13" x14ac:dyDescent="0.35">
      <c r="B27" s="13"/>
      <c r="C27" s="64">
        <v>12</v>
      </c>
      <c r="D27" s="95"/>
      <c r="E27" s="103"/>
      <c r="F27" s="63" t="s">
        <v>111</v>
      </c>
      <c r="G27" s="63" t="s">
        <v>115</v>
      </c>
      <c r="H27" s="56">
        <v>1</v>
      </c>
      <c r="I27" s="30">
        <v>293400</v>
      </c>
      <c r="J27" s="31">
        <f t="shared" si="2"/>
        <v>293400</v>
      </c>
      <c r="K27" s="16"/>
      <c r="L27" s="6"/>
      <c r="M27" s="93"/>
    </row>
    <row r="28" spans="2:13" x14ac:dyDescent="0.35">
      <c r="B28" s="13"/>
      <c r="C28" s="26">
        <v>13</v>
      </c>
      <c r="D28" s="95"/>
      <c r="E28" s="97" t="s">
        <v>76</v>
      </c>
      <c r="F28" s="63" t="s">
        <v>118</v>
      </c>
      <c r="G28" s="63" t="s">
        <v>119</v>
      </c>
      <c r="H28" s="56">
        <v>1</v>
      </c>
      <c r="I28" s="30">
        <v>211000</v>
      </c>
      <c r="J28" s="31">
        <f>+I28*H28</f>
        <v>211000</v>
      </c>
      <c r="K28" s="16"/>
      <c r="L28" s="6"/>
      <c r="M28" s="70"/>
    </row>
    <row r="29" spans="2:13" x14ac:dyDescent="0.35">
      <c r="B29" s="13"/>
      <c r="C29" s="26">
        <v>14</v>
      </c>
      <c r="D29" s="95"/>
      <c r="E29" s="103"/>
      <c r="F29" s="85" t="s">
        <v>114</v>
      </c>
      <c r="G29" s="85" t="s">
        <v>115</v>
      </c>
      <c r="H29" s="86">
        <v>2</v>
      </c>
      <c r="I29" s="87">
        <v>293400</v>
      </c>
      <c r="J29" s="88">
        <f t="shared" ref="J29:J30" si="3">+I29*H29</f>
        <v>586800</v>
      </c>
      <c r="K29" s="16"/>
      <c r="L29" s="6"/>
      <c r="M29" s="70"/>
    </row>
    <row r="30" spans="2:13" x14ac:dyDescent="0.35">
      <c r="B30" s="13"/>
      <c r="C30" s="64">
        <v>15</v>
      </c>
      <c r="D30" s="96"/>
      <c r="E30" s="98"/>
      <c r="F30" s="85" t="s">
        <v>127</v>
      </c>
      <c r="G30" s="85" t="s">
        <v>128</v>
      </c>
      <c r="H30" s="86">
        <v>2</v>
      </c>
      <c r="I30" s="87">
        <v>266133</v>
      </c>
      <c r="J30" s="88">
        <f t="shared" si="3"/>
        <v>532266</v>
      </c>
      <c r="K30" s="16"/>
      <c r="L30" s="6"/>
      <c r="M30" s="70"/>
    </row>
    <row r="31" spans="2:13" x14ac:dyDescent="0.35">
      <c r="B31" s="13"/>
      <c r="C31" s="32"/>
      <c r="D31" s="32"/>
      <c r="E31" s="51"/>
      <c r="F31" s="32"/>
      <c r="G31" s="33"/>
      <c r="H31" s="34"/>
      <c r="I31" s="66" t="s">
        <v>2</v>
      </c>
      <c r="J31" s="66">
        <f>SUM(J16:J30)</f>
        <v>5760666</v>
      </c>
      <c r="K31" s="16"/>
    </row>
    <row r="32" spans="2:13" x14ac:dyDescent="0.35">
      <c r="B32" s="13"/>
      <c r="C32" s="32"/>
      <c r="D32" s="32"/>
      <c r="E32" s="51"/>
      <c r="F32" s="32"/>
      <c r="G32" s="33"/>
      <c r="H32" s="34"/>
      <c r="I32" s="36"/>
      <c r="J32" s="36"/>
      <c r="K32" s="16"/>
    </row>
    <row r="33" spans="2:12" x14ac:dyDescent="0.35">
      <c r="B33" s="13"/>
      <c r="C33" s="32"/>
      <c r="D33" s="32"/>
      <c r="E33" s="51"/>
      <c r="F33" s="32"/>
      <c r="G33" s="33"/>
      <c r="H33" s="34"/>
      <c r="I33" s="37" t="s">
        <v>23</v>
      </c>
      <c r="J33" s="38">
        <f>+J31*15%</f>
        <v>864099.9</v>
      </c>
      <c r="K33" s="16"/>
    </row>
    <row r="34" spans="2:12" x14ac:dyDescent="0.35">
      <c r="B34" s="13"/>
      <c r="C34" s="32"/>
      <c r="D34" s="32"/>
      <c r="E34" s="51"/>
      <c r="F34" s="32"/>
      <c r="G34" s="33"/>
      <c r="H34" s="34"/>
      <c r="I34" s="39" t="s">
        <v>3</v>
      </c>
      <c r="J34" s="40">
        <f>+J31-J33</f>
        <v>4896566.0999999996</v>
      </c>
      <c r="K34" s="16"/>
    </row>
    <row r="35" spans="2:12" x14ac:dyDescent="0.35">
      <c r="B35" s="13"/>
      <c r="C35" s="32"/>
      <c r="D35" s="32"/>
      <c r="E35" s="51"/>
      <c r="G35" s="2"/>
      <c r="H35" s="34"/>
      <c r="I35" s="39" t="s">
        <v>44</v>
      </c>
      <c r="J35" s="40">
        <f>+J31*4%</f>
        <v>230426.64</v>
      </c>
      <c r="K35" s="16"/>
    </row>
    <row r="36" spans="2:12" x14ac:dyDescent="0.35">
      <c r="B36" s="13"/>
      <c r="C36" s="32"/>
      <c r="D36" s="32"/>
      <c r="E36" s="51"/>
      <c r="F36" s="32"/>
      <c r="G36" s="33"/>
      <c r="H36" s="34"/>
      <c r="I36" s="41" t="s">
        <v>45</v>
      </c>
      <c r="J36" s="29">
        <f>+J31*3%</f>
        <v>172819.97999999998</v>
      </c>
      <c r="K36" s="16"/>
    </row>
    <row r="37" spans="2:12" x14ac:dyDescent="0.35">
      <c r="B37" s="13"/>
      <c r="C37" s="32"/>
      <c r="D37" s="32"/>
      <c r="E37" s="51"/>
      <c r="F37" s="32"/>
      <c r="G37" s="33"/>
      <c r="H37" s="34"/>
      <c r="I37" s="39" t="s">
        <v>4</v>
      </c>
      <c r="J37" s="40">
        <f>SUM(J34:J36)</f>
        <v>5299812.7199999988</v>
      </c>
      <c r="K37" s="16"/>
    </row>
    <row r="38" spans="2:12" x14ac:dyDescent="0.35">
      <c r="B38" s="13"/>
      <c r="C38" s="32"/>
      <c r="D38" s="32"/>
      <c r="E38" s="51"/>
      <c r="F38" s="32"/>
      <c r="G38" s="33"/>
      <c r="H38" s="34"/>
      <c r="I38" s="39" t="s">
        <v>24</v>
      </c>
      <c r="J38" s="40">
        <f>+J37*19%</f>
        <v>1006964.4167999998</v>
      </c>
      <c r="K38" s="16"/>
    </row>
    <row r="39" spans="2:12" x14ac:dyDescent="0.35">
      <c r="B39" s="13"/>
      <c r="C39" s="32"/>
      <c r="D39" s="32"/>
      <c r="E39" s="51"/>
      <c r="F39" s="32"/>
      <c r="G39" s="33"/>
      <c r="H39" s="34"/>
      <c r="I39" s="31" t="s">
        <v>5</v>
      </c>
      <c r="J39" s="31">
        <f>SUM(J37:J38)</f>
        <v>6306777.1367999986</v>
      </c>
      <c r="K39" s="16"/>
    </row>
    <row r="40" spans="2:12" ht="18.75" thickBot="1" x14ac:dyDescent="0.4">
      <c r="B40" s="17"/>
      <c r="C40" s="18"/>
      <c r="D40" s="18"/>
      <c r="E40" s="52"/>
      <c r="F40" s="18"/>
      <c r="G40" s="19"/>
      <c r="H40" s="20"/>
      <c r="I40" s="21"/>
      <c r="J40" s="21"/>
      <c r="K40" s="22"/>
    </row>
    <row r="42" spans="2:12" x14ac:dyDescent="0.35">
      <c r="B42" s="46" t="s">
        <v>26</v>
      </c>
      <c r="C42" s="44"/>
      <c r="D42" s="44"/>
      <c r="E42" s="45"/>
      <c r="F42" s="44"/>
      <c r="G42" s="44"/>
      <c r="H42" s="44"/>
      <c r="I42" s="44"/>
      <c r="J42" s="44"/>
      <c r="K42" s="44"/>
      <c r="L42" s="44"/>
    </row>
    <row r="43" spans="2:12" x14ac:dyDescent="0.35">
      <c r="B43" s="101" t="s">
        <v>27</v>
      </c>
      <c r="C43" s="101"/>
      <c r="D43" s="101"/>
      <c r="E43" s="101"/>
      <c r="F43" s="101"/>
      <c r="G43" s="101"/>
      <c r="H43" s="101"/>
      <c r="I43" s="101"/>
      <c r="J43" s="101"/>
      <c r="K43" s="101"/>
      <c r="L43" s="44"/>
    </row>
    <row r="44" spans="2:12" ht="56.45" customHeight="1" x14ac:dyDescent="0.35">
      <c r="B44" s="102" t="s">
        <v>28</v>
      </c>
      <c r="C44" s="102"/>
      <c r="D44" s="102"/>
      <c r="E44" s="102"/>
      <c r="F44" s="102"/>
      <c r="G44" s="102"/>
      <c r="H44" s="102"/>
      <c r="I44" s="102"/>
      <c r="J44" s="102"/>
      <c r="K44" s="102"/>
      <c r="L44" s="47"/>
    </row>
    <row r="45" spans="2:12" ht="19.149999999999999" customHeight="1" x14ac:dyDescent="0.35">
      <c r="B45" s="100" t="s">
        <v>29</v>
      </c>
      <c r="C45" s="100"/>
      <c r="D45" s="100"/>
      <c r="E45" s="100"/>
      <c r="F45" s="100"/>
      <c r="G45" s="100"/>
      <c r="H45" s="100"/>
      <c r="I45" s="100"/>
      <c r="J45" s="100"/>
      <c r="K45" s="100"/>
      <c r="L45" s="100"/>
    </row>
    <row r="46" spans="2:12" ht="53.45" customHeight="1" x14ac:dyDescent="0.35">
      <c r="B46" s="99" t="s">
        <v>30</v>
      </c>
      <c r="C46" s="99"/>
      <c r="D46" s="99"/>
      <c r="E46" s="99"/>
      <c r="F46" s="99"/>
      <c r="G46" s="99"/>
      <c r="H46" s="99"/>
      <c r="I46" s="99"/>
      <c r="J46" s="99"/>
      <c r="K46" s="99"/>
      <c r="L46" s="47"/>
    </row>
    <row r="47" spans="2:12" x14ac:dyDescent="0.35">
      <c r="B47" s="100" t="s">
        <v>31</v>
      </c>
      <c r="C47" s="100"/>
      <c r="D47" s="100"/>
      <c r="E47" s="100"/>
      <c r="F47" s="100"/>
      <c r="G47" s="100"/>
      <c r="H47" s="100"/>
      <c r="I47" s="100"/>
      <c r="J47" s="100"/>
      <c r="K47" s="100"/>
      <c r="L47" s="100"/>
    </row>
    <row r="48" spans="2:12" ht="47.45" customHeight="1" x14ac:dyDescent="0.35">
      <c r="B48" s="99" t="s">
        <v>32</v>
      </c>
      <c r="C48" s="99"/>
      <c r="D48" s="99"/>
      <c r="E48" s="99"/>
      <c r="F48" s="99"/>
      <c r="G48" s="99"/>
      <c r="H48" s="99"/>
      <c r="I48" s="99"/>
      <c r="J48" s="99"/>
      <c r="K48" s="99"/>
      <c r="L48" s="47"/>
    </row>
    <row r="49" spans="2:12" x14ac:dyDescent="0.35">
      <c r="B49" s="100" t="s">
        <v>33</v>
      </c>
      <c r="C49" s="100"/>
      <c r="D49" s="100"/>
      <c r="E49" s="100"/>
      <c r="F49" s="100"/>
      <c r="G49" s="100"/>
      <c r="H49" s="100"/>
      <c r="I49" s="100"/>
      <c r="J49" s="100"/>
      <c r="K49" s="100"/>
      <c r="L49" s="100"/>
    </row>
    <row r="50" spans="2:12" ht="60" customHeight="1" x14ac:dyDescent="0.35">
      <c r="B50" s="99" t="s">
        <v>34</v>
      </c>
      <c r="C50" s="99"/>
      <c r="D50" s="99"/>
      <c r="E50" s="99"/>
      <c r="F50" s="99"/>
      <c r="G50" s="99"/>
      <c r="H50" s="99"/>
      <c r="I50" s="99"/>
      <c r="J50" s="99"/>
      <c r="K50" s="99"/>
      <c r="L50" s="47"/>
    </row>
    <row r="51" spans="2:12" x14ac:dyDescent="0.35">
      <c r="B51" s="100" t="s">
        <v>35</v>
      </c>
      <c r="C51" s="100"/>
      <c r="D51" s="100"/>
      <c r="E51" s="100"/>
      <c r="F51" s="100"/>
      <c r="G51" s="100"/>
      <c r="H51" s="100"/>
      <c r="I51" s="100"/>
      <c r="J51" s="100"/>
      <c r="K51" s="100"/>
      <c r="L51" s="100"/>
    </row>
    <row r="52" spans="2:12" ht="29.45" customHeight="1" x14ac:dyDescent="0.35">
      <c r="B52" s="99" t="s">
        <v>36</v>
      </c>
      <c r="C52" s="99"/>
      <c r="D52" s="99"/>
      <c r="E52" s="99"/>
      <c r="F52" s="99"/>
      <c r="G52" s="99"/>
      <c r="H52" s="99"/>
      <c r="I52" s="99"/>
      <c r="J52" s="99"/>
      <c r="K52" s="99"/>
      <c r="L52" s="47"/>
    </row>
    <row r="53" spans="2:12" x14ac:dyDescent="0.35">
      <c r="B53" s="100" t="s">
        <v>37</v>
      </c>
      <c r="C53" s="100"/>
      <c r="D53" s="100"/>
      <c r="E53" s="100"/>
      <c r="F53" s="100"/>
      <c r="G53" s="100"/>
      <c r="H53" s="100"/>
      <c r="I53" s="100"/>
      <c r="J53" s="100"/>
      <c r="K53" s="100"/>
      <c r="L53" s="100"/>
    </row>
    <row r="54" spans="2:12" ht="31.9" customHeight="1" x14ac:dyDescent="0.35">
      <c r="B54" s="99" t="s">
        <v>38</v>
      </c>
      <c r="C54" s="99"/>
      <c r="D54" s="99"/>
      <c r="E54" s="99"/>
      <c r="F54" s="99"/>
      <c r="G54" s="99"/>
      <c r="H54" s="99"/>
      <c r="I54" s="99"/>
      <c r="J54" s="99"/>
      <c r="K54" s="99"/>
      <c r="L54" s="47"/>
    </row>
    <row r="55" spans="2:12" x14ac:dyDescent="0.35">
      <c r="B55" s="45"/>
      <c r="C55" s="44"/>
      <c r="D55" s="44"/>
      <c r="E55" s="45"/>
      <c r="F55" s="44"/>
      <c r="G55" s="44"/>
      <c r="H55" s="44"/>
      <c r="I55" s="44"/>
      <c r="J55" s="44"/>
      <c r="K55" s="44"/>
      <c r="L55" s="44"/>
    </row>
    <row r="56" spans="2:12" x14ac:dyDescent="0.35">
      <c r="B56" s="53" t="s">
        <v>40</v>
      </c>
      <c r="C56" s="44"/>
      <c r="D56" s="44"/>
      <c r="E56" s="45"/>
      <c r="F56" s="44"/>
      <c r="G56" s="44"/>
      <c r="H56" s="44"/>
      <c r="I56" s="44"/>
      <c r="J56" s="44"/>
      <c r="K56" s="44"/>
      <c r="L56" s="44"/>
    </row>
    <row r="57" spans="2:12" x14ac:dyDescent="0.35">
      <c r="B57" s="54" t="s">
        <v>41</v>
      </c>
      <c r="C57" s="44"/>
      <c r="D57" s="44"/>
      <c r="E57" s="45"/>
      <c r="F57" s="44"/>
      <c r="G57" s="44"/>
      <c r="H57" s="44"/>
      <c r="I57" s="44"/>
      <c r="J57" s="44"/>
      <c r="K57" s="44"/>
      <c r="L57" s="44"/>
    </row>
  </sheetData>
  <mergeCells count="34">
    <mergeCell ref="B52:K52"/>
    <mergeCell ref="B53:L53"/>
    <mergeCell ref="B54:K54"/>
    <mergeCell ref="B46:K46"/>
    <mergeCell ref="B47:L47"/>
    <mergeCell ref="B48:K48"/>
    <mergeCell ref="B49:L49"/>
    <mergeCell ref="B50:K50"/>
    <mergeCell ref="B51:L51"/>
    <mergeCell ref="B43:K43"/>
    <mergeCell ref="B44:K44"/>
    <mergeCell ref="B45:L45"/>
    <mergeCell ref="E26:E27"/>
    <mergeCell ref="M26:M27"/>
    <mergeCell ref="E23:E24"/>
    <mergeCell ref="F13:G13"/>
    <mergeCell ref="D16:D30"/>
    <mergeCell ref="E16:E18"/>
    <mergeCell ref="M18:M19"/>
    <mergeCell ref="E19:E20"/>
    <mergeCell ref="M20:M21"/>
    <mergeCell ref="E28:E30"/>
    <mergeCell ref="F10:G10"/>
    <mergeCell ref="I10:J10"/>
    <mergeCell ref="F11:G11"/>
    <mergeCell ref="I11:J11"/>
    <mergeCell ref="F12:G12"/>
    <mergeCell ref="I12:J12"/>
    <mergeCell ref="J3:J4"/>
    <mergeCell ref="C6:J6"/>
    <mergeCell ref="F8:G8"/>
    <mergeCell ref="I8:J8"/>
    <mergeCell ref="F9:G9"/>
    <mergeCell ref="I9:J9"/>
  </mergeCells>
  <pageMargins left="0.25" right="0.25" top="0.75" bottom="0.75" header="0.3" footer="0.3"/>
  <pageSetup scale="38" fitToWidth="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F7C81-548B-4C35-A50E-EEBE0FC869F9}">
  <sheetPr>
    <tabColor theme="9" tint="0.79998168889431442"/>
    <pageSetUpPr fitToPage="1"/>
  </sheetPr>
  <dimension ref="A1:AU80"/>
  <sheetViews>
    <sheetView topLeftCell="A6" zoomScale="80" zoomScaleNormal="80" workbookViewId="0">
      <selection activeCell="G18" sqref="G18"/>
    </sheetView>
  </sheetViews>
  <sheetFormatPr baseColWidth="10" defaultColWidth="11.5703125" defaultRowHeight="18" x14ac:dyDescent="0.35"/>
  <cols>
    <col min="1" max="1" width="11.5703125" style="2"/>
    <col min="2" max="2" width="3" style="2" customWidth="1"/>
    <col min="3" max="4" width="6.28515625" style="2" customWidth="1"/>
    <col min="5" max="5" width="23" style="48" customWidth="1"/>
    <col min="6" max="6" width="32" style="2" bestFit="1" customWidth="1"/>
    <col min="7" max="7" width="74" style="3" bestFit="1" customWidth="1"/>
    <col min="8" max="8" width="13.7109375" style="4" customWidth="1"/>
    <col min="9" max="9" width="19.5703125" style="5" bestFit="1" customWidth="1"/>
    <col min="10" max="10" width="18.28515625" style="5" bestFit="1" customWidth="1"/>
    <col min="11" max="11" width="14" style="2" bestFit="1" customWidth="1"/>
    <col min="12" max="12" width="3" style="2" customWidth="1"/>
    <col min="13" max="16384" width="11.5703125" style="2"/>
  </cols>
  <sheetData>
    <row r="1" spans="1:47" ht="18.75" thickBot="1" x14ac:dyDescent="0.4"/>
    <row r="2" spans="1:47" x14ac:dyDescent="0.35">
      <c r="B2" s="7"/>
      <c r="C2" s="8"/>
      <c r="D2" s="8"/>
      <c r="E2" s="49"/>
      <c r="F2" s="8"/>
      <c r="G2" s="9"/>
      <c r="H2" s="10"/>
      <c r="I2" s="11"/>
      <c r="J2" s="8"/>
      <c r="K2" s="8"/>
      <c r="L2" s="12"/>
    </row>
    <row r="3" spans="1:47" x14ac:dyDescent="0.35">
      <c r="B3" s="13"/>
      <c r="H3" s="14"/>
      <c r="I3" s="15"/>
      <c r="J3" s="89" t="s">
        <v>17</v>
      </c>
      <c r="K3" s="107">
        <v>45531</v>
      </c>
      <c r="L3" s="16"/>
    </row>
    <row r="4" spans="1:47" x14ac:dyDescent="0.35">
      <c r="B4" s="13"/>
      <c r="H4" s="14"/>
      <c r="I4" s="15"/>
      <c r="J4" s="89"/>
      <c r="K4" s="107"/>
      <c r="L4" s="16"/>
    </row>
    <row r="5" spans="1:47" x14ac:dyDescent="0.35">
      <c r="B5" s="13"/>
      <c r="H5" s="14"/>
      <c r="I5" s="15"/>
      <c r="J5" s="15"/>
      <c r="L5" s="16"/>
    </row>
    <row r="6" spans="1:47" ht="21.75" x14ac:dyDescent="0.4">
      <c r="B6" s="13"/>
      <c r="C6" s="90" t="s">
        <v>54</v>
      </c>
      <c r="D6" s="90"/>
      <c r="E6" s="90"/>
      <c r="F6" s="90"/>
      <c r="G6" s="90"/>
      <c r="H6" s="90"/>
      <c r="I6" s="90"/>
      <c r="J6" s="90"/>
      <c r="K6" s="90"/>
      <c r="L6" s="16"/>
    </row>
    <row r="7" spans="1:47" ht="10.9" customHeight="1" x14ac:dyDescent="0.4">
      <c r="B7" s="13"/>
      <c r="C7" s="23"/>
      <c r="D7" s="23"/>
      <c r="E7" s="23"/>
      <c r="F7" s="23"/>
      <c r="G7" s="23"/>
      <c r="H7" s="23"/>
      <c r="I7" s="23"/>
      <c r="J7" s="23"/>
      <c r="K7" s="23"/>
      <c r="L7" s="16"/>
    </row>
    <row r="8" spans="1:47" x14ac:dyDescent="0.35">
      <c r="B8" s="13"/>
      <c r="C8" s="42" t="s">
        <v>6</v>
      </c>
      <c r="D8" s="42"/>
      <c r="E8" s="50"/>
      <c r="F8" s="91" t="s">
        <v>51</v>
      </c>
      <c r="G8" s="91"/>
      <c r="H8" s="43" t="s">
        <v>25</v>
      </c>
      <c r="I8" s="91"/>
      <c r="J8" s="91"/>
      <c r="L8" s="16"/>
    </row>
    <row r="9" spans="1:47" x14ac:dyDescent="0.35">
      <c r="B9" s="13"/>
      <c r="C9" s="42" t="s">
        <v>7</v>
      </c>
      <c r="D9" s="42"/>
      <c r="E9" s="50"/>
      <c r="F9" s="91" t="s">
        <v>42</v>
      </c>
      <c r="G9" s="91"/>
      <c r="H9" s="43" t="s">
        <v>12</v>
      </c>
      <c r="I9" s="91" t="s">
        <v>53</v>
      </c>
      <c r="J9" s="91"/>
      <c r="L9" s="16"/>
    </row>
    <row r="10" spans="1:47" x14ac:dyDescent="0.35">
      <c r="B10" s="13"/>
      <c r="C10" s="42" t="s">
        <v>8</v>
      </c>
      <c r="D10" s="42"/>
      <c r="E10" s="50"/>
      <c r="F10" s="91"/>
      <c r="G10" s="91"/>
      <c r="H10" s="43" t="s">
        <v>13</v>
      </c>
      <c r="I10" s="91" t="s">
        <v>16</v>
      </c>
      <c r="J10" s="91"/>
      <c r="L10" s="16"/>
    </row>
    <row r="11" spans="1:47" x14ac:dyDescent="0.35">
      <c r="B11" s="13"/>
      <c r="C11" s="42" t="s">
        <v>11</v>
      </c>
      <c r="D11" s="42"/>
      <c r="E11" s="50"/>
      <c r="F11" s="91" t="s">
        <v>43</v>
      </c>
      <c r="G11" s="91"/>
      <c r="H11" s="43" t="s">
        <v>14</v>
      </c>
      <c r="I11" s="91"/>
      <c r="J11" s="91"/>
      <c r="L11" s="16"/>
    </row>
    <row r="12" spans="1:47" x14ac:dyDescent="0.35">
      <c r="B12" s="13"/>
      <c r="C12" s="42" t="s">
        <v>9</v>
      </c>
      <c r="D12" s="42"/>
      <c r="E12" s="50"/>
      <c r="F12" s="91" t="s">
        <v>52</v>
      </c>
      <c r="G12" s="91"/>
      <c r="H12" s="43" t="s">
        <v>15</v>
      </c>
      <c r="I12" s="91" t="s">
        <v>39</v>
      </c>
      <c r="J12" s="91"/>
      <c r="L12" s="16"/>
    </row>
    <row r="13" spans="1:47" x14ac:dyDescent="0.35">
      <c r="B13" s="13"/>
      <c r="C13" s="42" t="s">
        <v>10</v>
      </c>
      <c r="D13" s="42"/>
      <c r="E13" s="50"/>
      <c r="F13" s="92">
        <v>45532</v>
      </c>
      <c r="G13" s="92"/>
      <c r="H13" s="34"/>
      <c r="I13" s="36"/>
      <c r="J13" s="36"/>
      <c r="L13" s="16"/>
    </row>
    <row r="14" spans="1:47" ht="11.1" customHeight="1" x14ac:dyDescent="0.35">
      <c r="B14" s="13"/>
      <c r="H14" s="14"/>
      <c r="I14" s="15"/>
      <c r="J14" s="15"/>
      <c r="L14" s="16"/>
    </row>
    <row r="15" spans="1:47" x14ac:dyDescent="0.35">
      <c r="B15" s="13"/>
      <c r="C15" s="58" t="s">
        <v>18</v>
      </c>
      <c r="D15" s="58" t="s">
        <v>71</v>
      </c>
      <c r="E15" s="60" t="s">
        <v>19</v>
      </c>
      <c r="F15" s="59" t="s">
        <v>0</v>
      </c>
      <c r="G15" s="59" t="s">
        <v>20</v>
      </c>
      <c r="H15" s="58" t="s">
        <v>1</v>
      </c>
      <c r="I15" s="58" t="s">
        <v>21</v>
      </c>
      <c r="J15" s="58" t="s">
        <v>2</v>
      </c>
      <c r="K15" s="59" t="s">
        <v>22</v>
      </c>
      <c r="L15" s="16"/>
    </row>
    <row r="16" spans="1:47" customFormat="1" ht="35.25" customHeight="1" x14ac:dyDescent="0.35">
      <c r="A16" s="2"/>
      <c r="B16" s="13"/>
      <c r="C16" s="64">
        <v>1</v>
      </c>
      <c r="D16" s="71">
        <v>-3</v>
      </c>
      <c r="E16" s="68" t="s">
        <v>81</v>
      </c>
      <c r="F16" s="55" t="s">
        <v>123</v>
      </c>
      <c r="G16" s="55" t="s">
        <v>72</v>
      </c>
      <c r="H16" s="56">
        <v>2</v>
      </c>
      <c r="I16" s="83">
        <v>241000</v>
      </c>
      <c r="J16" s="62">
        <f>+I16*H16</f>
        <v>482000</v>
      </c>
      <c r="K16" s="61">
        <f>SUM(J16)</f>
        <v>482000</v>
      </c>
      <c r="L16" s="24"/>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row>
    <row r="17" spans="1:47" customFormat="1" ht="18" customHeight="1" x14ac:dyDescent="0.35">
      <c r="A17" s="2"/>
      <c r="B17" s="13"/>
      <c r="C17" s="26">
        <v>2</v>
      </c>
      <c r="D17" s="108">
        <v>-1</v>
      </c>
      <c r="E17" s="97" t="s">
        <v>73</v>
      </c>
      <c r="F17" s="63" t="s">
        <v>124</v>
      </c>
      <c r="G17" s="63" t="s">
        <v>74</v>
      </c>
      <c r="H17" s="56">
        <v>1</v>
      </c>
      <c r="I17" s="27">
        <v>212000</v>
      </c>
      <c r="J17" s="28">
        <f>+I17*H17</f>
        <v>212000</v>
      </c>
      <c r="K17" s="104">
        <f>SUM(J17:J20)</f>
        <v>2049600</v>
      </c>
      <c r="L17" s="25"/>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row>
    <row r="18" spans="1:47" x14ac:dyDescent="0.35">
      <c r="B18" s="13"/>
      <c r="C18" s="26">
        <v>3</v>
      </c>
      <c r="D18" s="109"/>
      <c r="E18" s="103"/>
      <c r="F18" s="63" t="s">
        <v>46</v>
      </c>
      <c r="G18" s="63" t="s">
        <v>55</v>
      </c>
      <c r="H18" s="56">
        <v>4</v>
      </c>
      <c r="I18" s="30">
        <v>109000</v>
      </c>
      <c r="J18" s="31">
        <f>+I18*H18</f>
        <v>436000</v>
      </c>
      <c r="K18" s="105"/>
      <c r="L18" s="16"/>
      <c r="N18" s="93"/>
    </row>
    <row r="19" spans="1:47" x14ac:dyDescent="0.35">
      <c r="B19" s="13"/>
      <c r="C19" s="26">
        <v>4</v>
      </c>
      <c r="D19" s="109"/>
      <c r="E19" s="103"/>
      <c r="F19" s="63" t="s">
        <v>68</v>
      </c>
      <c r="G19" s="63" t="s">
        <v>69</v>
      </c>
      <c r="H19" s="56">
        <v>4</v>
      </c>
      <c r="I19" s="30">
        <v>184400</v>
      </c>
      <c r="J19" s="31">
        <f t="shared" ref="J19:J25" si="0">+I19*H19</f>
        <v>737600</v>
      </c>
      <c r="K19" s="105"/>
      <c r="L19" s="16"/>
      <c r="N19" s="93"/>
    </row>
    <row r="20" spans="1:47" x14ac:dyDescent="0.35">
      <c r="B20" s="13"/>
      <c r="C20" s="64">
        <v>5</v>
      </c>
      <c r="D20" s="109"/>
      <c r="E20" s="98"/>
      <c r="F20" s="63" t="s">
        <v>64</v>
      </c>
      <c r="G20" s="63" t="s">
        <v>66</v>
      </c>
      <c r="H20" s="56">
        <v>4</v>
      </c>
      <c r="I20" s="30">
        <v>166000</v>
      </c>
      <c r="J20" s="31">
        <f t="shared" si="0"/>
        <v>664000</v>
      </c>
      <c r="K20" s="106"/>
      <c r="L20" s="16"/>
      <c r="N20" s="93"/>
    </row>
    <row r="21" spans="1:47" x14ac:dyDescent="0.35">
      <c r="B21" s="13"/>
      <c r="C21" s="64">
        <v>6</v>
      </c>
      <c r="D21" s="109"/>
      <c r="E21" s="97" t="s">
        <v>75</v>
      </c>
      <c r="F21" s="63" t="s">
        <v>64</v>
      </c>
      <c r="G21" s="63" t="s">
        <v>66</v>
      </c>
      <c r="H21" s="56">
        <v>2</v>
      </c>
      <c r="I21" s="30">
        <v>166000</v>
      </c>
      <c r="J21" s="31">
        <f t="shared" si="0"/>
        <v>332000</v>
      </c>
      <c r="K21" s="104">
        <f>SUM(J21:J22)</f>
        <v>496000</v>
      </c>
      <c r="L21" s="16"/>
      <c r="N21" s="93"/>
    </row>
    <row r="22" spans="1:47" x14ac:dyDescent="0.35">
      <c r="B22" s="13"/>
      <c r="C22" s="26">
        <v>7</v>
      </c>
      <c r="D22" s="109"/>
      <c r="E22" s="98"/>
      <c r="F22" s="55" t="s">
        <v>65</v>
      </c>
      <c r="G22" s="55" t="s">
        <v>67</v>
      </c>
      <c r="H22" s="56">
        <v>1</v>
      </c>
      <c r="I22" s="30">
        <v>164000</v>
      </c>
      <c r="J22" s="31">
        <f t="shared" si="0"/>
        <v>164000</v>
      </c>
      <c r="K22" s="106"/>
      <c r="L22" s="16"/>
      <c r="N22" s="93"/>
    </row>
    <row r="23" spans="1:47" x14ac:dyDescent="0.35">
      <c r="B23" s="13"/>
      <c r="C23" s="26">
        <v>8</v>
      </c>
      <c r="D23" s="109"/>
      <c r="E23" s="97" t="s">
        <v>76</v>
      </c>
      <c r="F23" s="63" t="s">
        <v>49</v>
      </c>
      <c r="G23" s="63" t="s">
        <v>60</v>
      </c>
      <c r="H23" s="56">
        <v>1</v>
      </c>
      <c r="I23" s="30">
        <v>128000</v>
      </c>
      <c r="J23" s="31">
        <f t="shared" si="0"/>
        <v>128000</v>
      </c>
      <c r="K23" s="104">
        <f>SUM(J23:J24)</f>
        <v>211000</v>
      </c>
      <c r="L23" s="16"/>
      <c r="N23" s="93"/>
    </row>
    <row r="24" spans="1:47" x14ac:dyDescent="0.35">
      <c r="B24" s="13"/>
      <c r="C24" s="26">
        <v>9</v>
      </c>
      <c r="D24" s="109"/>
      <c r="E24" s="98"/>
      <c r="F24" s="63" t="s">
        <v>61</v>
      </c>
      <c r="G24" s="63" t="s">
        <v>62</v>
      </c>
      <c r="H24" s="56">
        <v>1</v>
      </c>
      <c r="I24" s="30">
        <v>83000</v>
      </c>
      <c r="J24" s="31">
        <f t="shared" si="0"/>
        <v>83000</v>
      </c>
      <c r="K24" s="106"/>
      <c r="L24" s="16"/>
      <c r="N24" s="93"/>
    </row>
    <row r="25" spans="1:47" x14ac:dyDescent="0.35">
      <c r="B25" s="13"/>
      <c r="C25" s="64">
        <v>10</v>
      </c>
      <c r="D25" s="109"/>
      <c r="E25" s="97" t="s">
        <v>77</v>
      </c>
      <c r="F25" s="63" t="s">
        <v>46</v>
      </c>
      <c r="G25" s="63" t="s">
        <v>55</v>
      </c>
      <c r="H25" s="56">
        <v>1</v>
      </c>
      <c r="I25" s="57">
        <v>109000</v>
      </c>
      <c r="J25" s="31">
        <f t="shared" si="0"/>
        <v>109000</v>
      </c>
      <c r="K25" s="104">
        <f>SUM(J25:J26)</f>
        <v>293400</v>
      </c>
      <c r="L25" s="16"/>
      <c r="N25" s="93"/>
    </row>
    <row r="26" spans="1:47" x14ac:dyDescent="0.35">
      <c r="B26" s="13"/>
      <c r="C26" s="64">
        <v>11</v>
      </c>
      <c r="D26" s="109"/>
      <c r="E26" s="98"/>
      <c r="F26" s="63" t="s">
        <v>68</v>
      </c>
      <c r="G26" s="63" t="s">
        <v>69</v>
      </c>
      <c r="H26" s="56">
        <v>1</v>
      </c>
      <c r="I26" s="30">
        <v>184400</v>
      </c>
      <c r="J26" s="31">
        <f>+I26*H26</f>
        <v>184400</v>
      </c>
      <c r="K26" s="106"/>
      <c r="L26" s="16"/>
      <c r="N26" s="93"/>
    </row>
    <row r="27" spans="1:47" x14ac:dyDescent="0.35">
      <c r="B27" s="13"/>
      <c r="C27" s="26">
        <v>12</v>
      </c>
      <c r="D27" s="109"/>
      <c r="E27" s="97" t="s">
        <v>78</v>
      </c>
      <c r="F27" s="63" t="s">
        <v>64</v>
      </c>
      <c r="G27" s="63" t="s">
        <v>66</v>
      </c>
      <c r="H27" s="56">
        <v>1</v>
      </c>
      <c r="I27" s="30">
        <v>166000</v>
      </c>
      <c r="J27" s="31">
        <f>+I27*H27</f>
        <v>166000</v>
      </c>
      <c r="K27" s="104">
        <f>SUM(J27:J29)</f>
        <v>543600</v>
      </c>
      <c r="L27" s="16"/>
      <c r="N27" s="93"/>
    </row>
    <row r="28" spans="1:47" x14ac:dyDescent="0.35">
      <c r="B28" s="13"/>
      <c r="C28" s="26">
        <v>13</v>
      </c>
      <c r="D28" s="109"/>
      <c r="E28" s="103"/>
      <c r="F28" s="63" t="s">
        <v>48</v>
      </c>
      <c r="G28" s="63" t="s">
        <v>63</v>
      </c>
      <c r="H28" s="56">
        <v>1</v>
      </c>
      <c r="I28" s="30">
        <v>222000</v>
      </c>
      <c r="J28" s="31">
        <f t="shared" ref="J28:J29" si="1">+I28*H28</f>
        <v>222000</v>
      </c>
      <c r="K28" s="105"/>
      <c r="L28" s="16"/>
      <c r="N28" s="93"/>
    </row>
    <row r="29" spans="1:47" x14ac:dyDescent="0.35">
      <c r="B29" s="13"/>
      <c r="C29" s="26">
        <v>14</v>
      </c>
      <c r="D29" s="109"/>
      <c r="E29" s="98"/>
      <c r="F29" s="63" t="s">
        <v>79</v>
      </c>
      <c r="G29" s="63" t="s">
        <v>70</v>
      </c>
      <c r="H29" s="56">
        <v>1</v>
      </c>
      <c r="I29" s="30">
        <v>155600</v>
      </c>
      <c r="J29" s="31">
        <f t="shared" si="1"/>
        <v>155600</v>
      </c>
      <c r="K29" s="106"/>
      <c r="L29" s="16"/>
      <c r="N29" s="93"/>
    </row>
    <row r="30" spans="1:47" x14ac:dyDescent="0.35">
      <c r="B30" s="13"/>
      <c r="C30" s="64">
        <v>15</v>
      </c>
      <c r="D30" s="109"/>
      <c r="E30" s="97" t="s">
        <v>47</v>
      </c>
      <c r="F30" s="63" t="s">
        <v>48</v>
      </c>
      <c r="G30" s="63" t="s">
        <v>63</v>
      </c>
      <c r="H30" s="56">
        <v>1</v>
      </c>
      <c r="I30" s="30">
        <v>222000</v>
      </c>
      <c r="J30" s="31">
        <f>+I30*H30</f>
        <v>222000</v>
      </c>
      <c r="K30" s="104">
        <f>SUM(J30:J31)</f>
        <v>377600</v>
      </c>
      <c r="L30" s="16"/>
      <c r="N30" s="93"/>
    </row>
    <row r="31" spans="1:47" x14ac:dyDescent="0.35">
      <c r="B31" s="13"/>
      <c r="C31" s="64">
        <v>16</v>
      </c>
      <c r="D31" s="109"/>
      <c r="E31" s="98"/>
      <c r="F31" s="63" t="s">
        <v>79</v>
      </c>
      <c r="G31" s="63" t="s">
        <v>70</v>
      </c>
      <c r="H31" s="56">
        <v>1</v>
      </c>
      <c r="I31" s="30">
        <v>155600</v>
      </c>
      <c r="J31" s="31">
        <f>+I31*H31</f>
        <v>155600</v>
      </c>
      <c r="K31" s="106"/>
      <c r="L31" s="16"/>
      <c r="N31" s="93"/>
    </row>
    <row r="32" spans="1:47" x14ac:dyDescent="0.35">
      <c r="B32" s="13"/>
      <c r="C32" s="26">
        <v>17</v>
      </c>
      <c r="D32" s="109"/>
      <c r="E32" s="97" t="s">
        <v>80</v>
      </c>
      <c r="F32" s="63" t="s">
        <v>64</v>
      </c>
      <c r="G32" s="63" t="s">
        <v>66</v>
      </c>
      <c r="H32" s="56">
        <v>1</v>
      </c>
      <c r="I32" s="30">
        <v>166000</v>
      </c>
      <c r="J32" s="31">
        <f t="shared" ref="J32:J53" si="2">+I32*H32</f>
        <v>166000</v>
      </c>
      <c r="K32" s="104">
        <f>SUM(J32:J34)</f>
        <v>459400</v>
      </c>
      <c r="L32" s="16"/>
      <c r="N32" s="93"/>
    </row>
    <row r="33" spans="2:14" x14ac:dyDescent="0.35">
      <c r="B33" s="13"/>
      <c r="C33" s="26">
        <v>18</v>
      </c>
      <c r="D33" s="109"/>
      <c r="E33" s="103"/>
      <c r="F33" s="63" t="s">
        <v>46</v>
      </c>
      <c r="G33" s="63" t="s">
        <v>55</v>
      </c>
      <c r="H33" s="56">
        <v>1</v>
      </c>
      <c r="I33" s="30">
        <v>109000</v>
      </c>
      <c r="J33" s="31">
        <f t="shared" si="2"/>
        <v>109000</v>
      </c>
      <c r="K33" s="105"/>
      <c r="L33" s="16"/>
      <c r="M33" s="6"/>
      <c r="N33" s="93"/>
    </row>
    <row r="34" spans="2:14" x14ac:dyDescent="0.35">
      <c r="B34" s="13"/>
      <c r="C34" s="26">
        <v>19</v>
      </c>
      <c r="D34" s="109"/>
      <c r="E34" s="98"/>
      <c r="F34" s="63" t="s">
        <v>68</v>
      </c>
      <c r="G34" s="63" t="s">
        <v>69</v>
      </c>
      <c r="H34" s="56">
        <v>1</v>
      </c>
      <c r="I34" s="30">
        <v>184400</v>
      </c>
      <c r="J34" s="31">
        <f t="shared" si="2"/>
        <v>184400</v>
      </c>
      <c r="K34" s="106"/>
      <c r="L34" s="16"/>
      <c r="M34" s="6"/>
      <c r="N34" s="93"/>
    </row>
    <row r="35" spans="2:14" x14ac:dyDescent="0.35">
      <c r="B35" s="13"/>
      <c r="C35" s="64">
        <v>20</v>
      </c>
      <c r="D35" s="109"/>
      <c r="E35" s="97" t="s">
        <v>76</v>
      </c>
      <c r="F35" s="63" t="s">
        <v>49</v>
      </c>
      <c r="G35" s="63" t="s">
        <v>60</v>
      </c>
      <c r="H35" s="56">
        <v>1</v>
      </c>
      <c r="I35" s="30">
        <v>128000</v>
      </c>
      <c r="J35" s="31">
        <f t="shared" si="2"/>
        <v>128000</v>
      </c>
      <c r="K35" s="104">
        <f>SUM(J35:J36)</f>
        <v>211000</v>
      </c>
      <c r="L35" s="16"/>
      <c r="N35" s="93"/>
    </row>
    <row r="36" spans="2:14" x14ac:dyDescent="0.35">
      <c r="B36" s="13"/>
      <c r="C36" s="64">
        <v>21</v>
      </c>
      <c r="D36" s="110"/>
      <c r="E36" s="98"/>
      <c r="F36" s="63" t="s">
        <v>61</v>
      </c>
      <c r="G36" s="63" t="s">
        <v>62</v>
      </c>
      <c r="H36" s="56">
        <v>1</v>
      </c>
      <c r="I36" s="30">
        <v>83000</v>
      </c>
      <c r="J36" s="65">
        <f t="shared" si="2"/>
        <v>83000</v>
      </c>
      <c r="K36" s="106"/>
      <c r="L36" s="16"/>
      <c r="N36" s="93"/>
    </row>
    <row r="37" spans="2:14" x14ac:dyDescent="0.35">
      <c r="B37" s="13"/>
      <c r="C37" s="26">
        <v>22</v>
      </c>
      <c r="D37" s="72">
        <v>2</v>
      </c>
      <c r="E37" s="67" t="s">
        <v>50</v>
      </c>
      <c r="F37" s="63" t="s">
        <v>124</v>
      </c>
      <c r="G37" s="63" t="s">
        <v>74</v>
      </c>
      <c r="H37" s="56">
        <v>1</v>
      </c>
      <c r="I37" s="27">
        <v>212000</v>
      </c>
      <c r="J37" s="65">
        <f t="shared" si="2"/>
        <v>212000</v>
      </c>
      <c r="K37" s="61">
        <f>SUM(J37)</f>
        <v>212000</v>
      </c>
      <c r="L37" s="16"/>
      <c r="N37" s="93"/>
    </row>
    <row r="38" spans="2:14" x14ac:dyDescent="0.35">
      <c r="B38" s="13"/>
      <c r="C38" s="26">
        <v>23</v>
      </c>
      <c r="D38" s="111">
        <v>4</v>
      </c>
      <c r="E38" s="97" t="s">
        <v>82</v>
      </c>
      <c r="F38" s="63" t="s">
        <v>84</v>
      </c>
      <c r="G38" s="63" t="s">
        <v>91</v>
      </c>
      <c r="H38" s="56">
        <v>66</v>
      </c>
      <c r="I38" s="30">
        <v>131000</v>
      </c>
      <c r="J38" s="31">
        <f t="shared" si="2"/>
        <v>8646000</v>
      </c>
      <c r="K38" s="104">
        <f>SUM(J38:J40)</f>
        <v>22759000</v>
      </c>
      <c r="L38" s="16"/>
      <c r="N38" s="93"/>
    </row>
    <row r="39" spans="2:14" x14ac:dyDescent="0.35">
      <c r="B39" s="13"/>
      <c r="C39" s="26">
        <v>24</v>
      </c>
      <c r="D39" s="112"/>
      <c r="E39" s="103"/>
      <c r="F39" s="63" t="s">
        <v>83</v>
      </c>
      <c r="G39" s="63" t="s">
        <v>92</v>
      </c>
      <c r="H39" s="56">
        <v>11</v>
      </c>
      <c r="I39" s="30">
        <v>920000</v>
      </c>
      <c r="J39" s="31">
        <f t="shared" si="2"/>
        <v>10120000</v>
      </c>
      <c r="K39" s="105"/>
      <c r="L39" s="16"/>
      <c r="N39" s="93"/>
    </row>
    <row r="40" spans="2:14" x14ac:dyDescent="0.35">
      <c r="B40" s="13"/>
      <c r="C40" s="64">
        <v>25</v>
      </c>
      <c r="D40" s="112"/>
      <c r="E40" s="98"/>
      <c r="F40" s="63" t="s">
        <v>90</v>
      </c>
      <c r="G40" s="63" t="s">
        <v>93</v>
      </c>
      <c r="H40" s="56">
        <v>33</v>
      </c>
      <c r="I40" s="30">
        <v>121000</v>
      </c>
      <c r="J40" s="31">
        <f t="shared" si="2"/>
        <v>3993000</v>
      </c>
      <c r="K40" s="106"/>
      <c r="L40" s="16"/>
      <c r="N40" s="93"/>
    </row>
    <row r="41" spans="2:14" x14ac:dyDescent="0.35">
      <c r="B41" s="13"/>
      <c r="C41" s="64">
        <v>26</v>
      </c>
      <c r="D41" s="112"/>
      <c r="E41" s="97" t="s">
        <v>85</v>
      </c>
      <c r="F41" s="63" t="s">
        <v>86</v>
      </c>
      <c r="G41" s="63" t="s">
        <v>94</v>
      </c>
      <c r="H41" s="56">
        <v>8</v>
      </c>
      <c r="I41" s="30">
        <v>281000</v>
      </c>
      <c r="J41" s="31">
        <f t="shared" si="2"/>
        <v>2248000</v>
      </c>
      <c r="K41" s="104">
        <f>SUM(J41:J44)</f>
        <v>4595000</v>
      </c>
      <c r="L41" s="16"/>
      <c r="N41" s="93"/>
    </row>
    <row r="42" spans="2:14" x14ac:dyDescent="0.35">
      <c r="B42" s="13"/>
      <c r="C42" s="26">
        <v>27</v>
      </c>
      <c r="D42" s="112"/>
      <c r="E42" s="103"/>
      <c r="F42" s="63" t="s">
        <v>61</v>
      </c>
      <c r="G42" s="63" t="s">
        <v>62</v>
      </c>
      <c r="H42" s="56">
        <v>8</v>
      </c>
      <c r="I42" s="30">
        <v>83000</v>
      </c>
      <c r="J42" s="31">
        <f t="shared" si="2"/>
        <v>664000</v>
      </c>
      <c r="K42" s="105"/>
      <c r="L42" s="16"/>
      <c r="N42" s="93"/>
    </row>
    <row r="43" spans="2:14" x14ac:dyDescent="0.35">
      <c r="B43" s="13"/>
      <c r="C43" s="26">
        <v>28</v>
      </c>
      <c r="D43" s="112"/>
      <c r="E43" s="103"/>
      <c r="F43" s="63" t="s">
        <v>87</v>
      </c>
      <c r="G43" s="63" t="s">
        <v>95</v>
      </c>
      <c r="H43" s="56">
        <v>9</v>
      </c>
      <c r="I43" s="30">
        <v>104000</v>
      </c>
      <c r="J43" s="31">
        <f t="shared" si="2"/>
        <v>936000</v>
      </c>
      <c r="K43" s="105"/>
      <c r="L43" s="16"/>
      <c r="N43" s="93"/>
    </row>
    <row r="44" spans="2:14" x14ac:dyDescent="0.35">
      <c r="B44" s="13"/>
      <c r="C44" s="26">
        <v>29</v>
      </c>
      <c r="D44" s="113"/>
      <c r="E44" s="98"/>
      <c r="F44" s="63" t="s">
        <v>61</v>
      </c>
      <c r="G44" s="63" t="s">
        <v>62</v>
      </c>
      <c r="H44" s="56">
        <v>9</v>
      </c>
      <c r="I44" s="30">
        <v>83000</v>
      </c>
      <c r="J44" s="31">
        <f t="shared" si="2"/>
        <v>747000</v>
      </c>
      <c r="K44" s="106"/>
      <c r="L44" s="16"/>
      <c r="N44" s="93"/>
    </row>
    <row r="45" spans="2:14" x14ac:dyDescent="0.35">
      <c r="B45" s="13"/>
      <c r="C45" s="64">
        <v>30</v>
      </c>
      <c r="D45" s="111">
        <v>5</v>
      </c>
      <c r="E45" s="97" t="s">
        <v>88</v>
      </c>
      <c r="F45" s="63" t="s">
        <v>46</v>
      </c>
      <c r="G45" s="63" t="s">
        <v>55</v>
      </c>
      <c r="H45" s="56">
        <v>54</v>
      </c>
      <c r="I45" s="30">
        <v>109000</v>
      </c>
      <c r="J45" s="31">
        <f t="shared" si="2"/>
        <v>5886000</v>
      </c>
      <c r="K45" s="104">
        <f>SUM(J45:J51)</f>
        <v>17130600</v>
      </c>
      <c r="L45" s="16"/>
      <c r="N45" s="93"/>
    </row>
    <row r="46" spans="2:14" x14ac:dyDescent="0.35">
      <c r="B46" s="13"/>
      <c r="C46" s="64">
        <v>31</v>
      </c>
      <c r="D46" s="112"/>
      <c r="E46" s="103"/>
      <c r="F46" s="63" t="s">
        <v>103</v>
      </c>
      <c r="G46" s="63" t="s">
        <v>96</v>
      </c>
      <c r="H46" s="56">
        <v>9</v>
      </c>
      <c r="I46" s="30">
        <v>438800</v>
      </c>
      <c r="J46" s="31">
        <f t="shared" si="2"/>
        <v>3949200</v>
      </c>
      <c r="K46" s="105"/>
      <c r="L46" s="16"/>
      <c r="N46" s="93"/>
    </row>
    <row r="47" spans="2:14" x14ac:dyDescent="0.35">
      <c r="B47" s="13"/>
      <c r="C47" s="26">
        <v>32</v>
      </c>
      <c r="D47" s="112"/>
      <c r="E47" s="103"/>
      <c r="F47" s="63" t="s">
        <v>97</v>
      </c>
      <c r="G47" s="63" t="s">
        <v>98</v>
      </c>
      <c r="H47" s="56">
        <v>27</v>
      </c>
      <c r="I47" s="30">
        <v>31800</v>
      </c>
      <c r="J47" s="31">
        <f t="shared" si="2"/>
        <v>858600</v>
      </c>
      <c r="K47" s="105"/>
      <c r="L47" s="16"/>
      <c r="N47" s="93"/>
    </row>
    <row r="48" spans="2:14" x14ac:dyDescent="0.35">
      <c r="B48" s="13"/>
      <c r="C48" s="26">
        <v>33</v>
      </c>
      <c r="D48" s="112"/>
      <c r="E48" s="103"/>
      <c r="F48" s="63" t="s">
        <v>99</v>
      </c>
      <c r="G48" s="63" t="s">
        <v>100</v>
      </c>
      <c r="H48" s="56">
        <v>36</v>
      </c>
      <c r="I48" s="30">
        <v>8000</v>
      </c>
      <c r="J48" s="31">
        <f t="shared" si="2"/>
        <v>288000</v>
      </c>
      <c r="K48" s="105"/>
      <c r="L48" s="16"/>
      <c r="N48" s="93"/>
    </row>
    <row r="49" spans="2:14" x14ac:dyDescent="0.35">
      <c r="B49" s="13"/>
      <c r="C49" s="26">
        <v>34</v>
      </c>
      <c r="D49" s="112"/>
      <c r="E49" s="103"/>
      <c r="F49" s="63" t="s">
        <v>101</v>
      </c>
      <c r="G49" s="63" t="s">
        <v>102</v>
      </c>
      <c r="H49" s="56">
        <v>54</v>
      </c>
      <c r="I49" s="30">
        <v>48600</v>
      </c>
      <c r="J49" s="31">
        <f t="shared" si="2"/>
        <v>2624400</v>
      </c>
      <c r="K49" s="105"/>
      <c r="L49" s="16"/>
      <c r="N49" s="93"/>
    </row>
    <row r="50" spans="2:14" x14ac:dyDescent="0.35">
      <c r="B50" s="13"/>
      <c r="C50" s="64">
        <v>35</v>
      </c>
      <c r="D50" s="112"/>
      <c r="E50" s="103"/>
      <c r="F50" s="63" t="s">
        <v>56</v>
      </c>
      <c r="G50" s="63" t="s">
        <v>57</v>
      </c>
      <c r="H50" s="56">
        <v>9</v>
      </c>
      <c r="I50" s="30">
        <v>49600</v>
      </c>
      <c r="J50" s="31">
        <f t="shared" si="2"/>
        <v>446400</v>
      </c>
      <c r="K50" s="105"/>
      <c r="L50" s="16"/>
      <c r="N50" s="93"/>
    </row>
    <row r="51" spans="2:14" x14ac:dyDescent="0.35">
      <c r="B51" s="13"/>
      <c r="C51" s="64">
        <v>36</v>
      </c>
      <c r="D51" s="112"/>
      <c r="E51" s="98"/>
      <c r="F51" s="63" t="s">
        <v>58</v>
      </c>
      <c r="G51" s="63" t="s">
        <v>59</v>
      </c>
      <c r="H51" s="56">
        <v>27</v>
      </c>
      <c r="I51" s="30">
        <v>114000</v>
      </c>
      <c r="J51" s="31">
        <f t="shared" si="2"/>
        <v>3078000</v>
      </c>
      <c r="K51" s="106"/>
      <c r="L51" s="16"/>
      <c r="N51" s="93"/>
    </row>
    <row r="52" spans="2:14" x14ac:dyDescent="0.35">
      <c r="B52" s="13"/>
      <c r="C52" s="26">
        <v>37</v>
      </c>
      <c r="D52" s="112"/>
      <c r="E52" s="97" t="s">
        <v>89</v>
      </c>
      <c r="F52" s="63" t="s">
        <v>46</v>
      </c>
      <c r="G52" s="63" t="s">
        <v>55</v>
      </c>
      <c r="H52" s="56">
        <v>2</v>
      </c>
      <c r="I52" s="30">
        <v>109000</v>
      </c>
      <c r="J52" s="31">
        <f t="shared" si="2"/>
        <v>218000</v>
      </c>
      <c r="K52" s="104">
        <f>SUM(J52:J53)</f>
        <v>586800</v>
      </c>
      <c r="L52" s="16"/>
      <c r="N52" s="93"/>
    </row>
    <row r="53" spans="2:14" x14ac:dyDescent="0.35">
      <c r="B53" s="13"/>
      <c r="C53" s="26">
        <v>38</v>
      </c>
      <c r="D53" s="113"/>
      <c r="E53" s="98"/>
      <c r="F53" s="63" t="s">
        <v>68</v>
      </c>
      <c r="G53" s="63" t="s">
        <v>69</v>
      </c>
      <c r="H53" s="56">
        <v>2</v>
      </c>
      <c r="I53" s="30">
        <v>184400</v>
      </c>
      <c r="J53" s="31">
        <f t="shared" si="2"/>
        <v>368800</v>
      </c>
      <c r="K53" s="106"/>
      <c r="L53" s="16"/>
      <c r="N53" s="93"/>
    </row>
    <row r="54" spans="2:14" x14ac:dyDescent="0.35">
      <c r="B54" s="13"/>
      <c r="C54" s="32"/>
      <c r="D54" s="32"/>
      <c r="E54" s="51"/>
      <c r="F54" s="32"/>
      <c r="G54" s="33"/>
      <c r="H54" s="34"/>
      <c r="I54" s="66" t="s">
        <v>2</v>
      </c>
      <c r="J54" s="66">
        <f>SUM(J16:J53)</f>
        <v>50407000</v>
      </c>
      <c r="K54" s="35">
        <f>SUM(K16:K53)</f>
        <v>50407000</v>
      </c>
      <c r="L54" s="16"/>
    </row>
    <row r="55" spans="2:14" x14ac:dyDescent="0.35">
      <c r="B55" s="13"/>
      <c r="C55" s="32"/>
      <c r="D55" s="32"/>
      <c r="E55" s="51"/>
      <c r="F55" s="32"/>
      <c r="G55" s="33"/>
      <c r="H55" s="34"/>
      <c r="I55" s="36"/>
      <c r="J55" s="36"/>
      <c r="K55" s="32"/>
      <c r="L55" s="16"/>
    </row>
    <row r="56" spans="2:14" x14ac:dyDescent="0.35">
      <c r="B56" s="13"/>
      <c r="C56" s="32"/>
      <c r="D56" s="32"/>
      <c r="E56" s="51"/>
      <c r="F56" s="32"/>
      <c r="G56" s="33"/>
      <c r="H56" s="34"/>
      <c r="I56" s="37" t="s">
        <v>23</v>
      </c>
      <c r="J56" s="38">
        <f>+J54*15%</f>
        <v>7561050</v>
      </c>
      <c r="K56" s="32"/>
      <c r="L56" s="16"/>
    </row>
    <row r="57" spans="2:14" x14ac:dyDescent="0.35">
      <c r="B57" s="13"/>
      <c r="C57" s="32"/>
      <c r="D57" s="32"/>
      <c r="E57" s="51"/>
      <c r="F57" s="32"/>
      <c r="G57" s="33"/>
      <c r="H57" s="34"/>
      <c r="I57" s="39" t="s">
        <v>3</v>
      </c>
      <c r="J57" s="40">
        <f>+J54-J56</f>
        <v>42845950</v>
      </c>
      <c r="K57" s="32"/>
      <c r="L57" s="16"/>
    </row>
    <row r="58" spans="2:14" x14ac:dyDescent="0.35">
      <c r="B58" s="13"/>
      <c r="C58" s="32"/>
      <c r="D58" s="32"/>
      <c r="E58" s="51"/>
      <c r="G58" s="2"/>
      <c r="H58" s="34"/>
      <c r="I58" s="39" t="s">
        <v>44</v>
      </c>
      <c r="J58" s="40">
        <f>+J54*4%</f>
        <v>2016280</v>
      </c>
      <c r="K58" s="32"/>
      <c r="L58" s="16"/>
    </row>
    <row r="59" spans="2:14" x14ac:dyDescent="0.35">
      <c r="B59" s="13"/>
      <c r="C59" s="32"/>
      <c r="D59" s="32"/>
      <c r="E59" s="51"/>
      <c r="F59" s="32"/>
      <c r="G59" s="33"/>
      <c r="H59" s="34"/>
      <c r="I59" s="41" t="s">
        <v>45</v>
      </c>
      <c r="J59" s="29">
        <f>+J54*3%</f>
        <v>1512210</v>
      </c>
      <c r="K59" s="32"/>
      <c r="L59" s="16"/>
    </row>
    <row r="60" spans="2:14" x14ac:dyDescent="0.35">
      <c r="B60" s="13"/>
      <c r="C60" s="32"/>
      <c r="D60" s="32"/>
      <c r="E60" s="51"/>
      <c r="F60" s="32"/>
      <c r="G60" s="33"/>
      <c r="H60" s="34"/>
      <c r="I60" s="39" t="s">
        <v>4</v>
      </c>
      <c r="J60" s="40">
        <f>SUM(J57:J59)</f>
        <v>46374440</v>
      </c>
      <c r="K60" s="32"/>
      <c r="L60" s="16"/>
    </row>
    <row r="61" spans="2:14" x14ac:dyDescent="0.35">
      <c r="B61" s="13"/>
      <c r="C61" s="32"/>
      <c r="D61" s="32"/>
      <c r="E61" s="51"/>
      <c r="F61" s="32"/>
      <c r="G61" s="33"/>
      <c r="H61" s="34"/>
      <c r="I61" s="39" t="s">
        <v>24</v>
      </c>
      <c r="J61" s="40">
        <f>+J60*19%</f>
        <v>8811143.5999999996</v>
      </c>
      <c r="K61" s="32"/>
      <c r="L61" s="16"/>
    </row>
    <row r="62" spans="2:14" x14ac:dyDescent="0.35">
      <c r="B62" s="13"/>
      <c r="C62" s="32"/>
      <c r="D62" s="32"/>
      <c r="E62" s="51"/>
      <c r="F62" s="32"/>
      <c r="G62" s="33"/>
      <c r="H62" s="34"/>
      <c r="I62" s="31" t="s">
        <v>5</v>
      </c>
      <c r="J62" s="31">
        <f>SUM(J60:J61)</f>
        <v>55185583.600000001</v>
      </c>
      <c r="K62" s="32"/>
      <c r="L62" s="16"/>
    </row>
    <row r="63" spans="2:14" ht="18.75" thickBot="1" x14ac:dyDescent="0.4">
      <c r="B63" s="17"/>
      <c r="C63" s="18"/>
      <c r="D63" s="18"/>
      <c r="E63" s="52"/>
      <c r="F63" s="18"/>
      <c r="G63" s="19"/>
      <c r="H63" s="20"/>
      <c r="I63" s="21"/>
      <c r="J63" s="21"/>
      <c r="K63" s="18"/>
      <c r="L63" s="22"/>
    </row>
    <row r="65" spans="2:13" x14ac:dyDescent="0.35">
      <c r="B65" s="46" t="s">
        <v>26</v>
      </c>
      <c r="C65" s="44"/>
      <c r="D65" s="44"/>
      <c r="E65" s="45"/>
      <c r="F65" s="44"/>
      <c r="G65" s="44"/>
      <c r="H65" s="44"/>
      <c r="I65" s="44"/>
      <c r="J65" s="44"/>
      <c r="K65" s="44"/>
      <c r="L65" s="44"/>
      <c r="M65" s="44"/>
    </row>
    <row r="66" spans="2:13" x14ac:dyDescent="0.35">
      <c r="B66" s="101" t="s">
        <v>27</v>
      </c>
      <c r="C66" s="101"/>
      <c r="D66" s="101"/>
      <c r="E66" s="101"/>
      <c r="F66" s="101"/>
      <c r="G66" s="101"/>
      <c r="H66" s="101"/>
      <c r="I66" s="101"/>
      <c r="J66" s="101"/>
      <c r="K66" s="101"/>
      <c r="L66" s="101"/>
      <c r="M66" s="44"/>
    </row>
    <row r="67" spans="2:13" ht="56.45" customHeight="1" x14ac:dyDescent="0.35">
      <c r="B67" s="102" t="s">
        <v>28</v>
      </c>
      <c r="C67" s="102"/>
      <c r="D67" s="102"/>
      <c r="E67" s="102"/>
      <c r="F67" s="102"/>
      <c r="G67" s="102"/>
      <c r="H67" s="102"/>
      <c r="I67" s="102"/>
      <c r="J67" s="102"/>
      <c r="K67" s="102"/>
      <c r="L67" s="102"/>
      <c r="M67" s="47"/>
    </row>
    <row r="68" spans="2:13" ht="19.149999999999999" customHeight="1" x14ac:dyDescent="0.35">
      <c r="B68" s="100" t="s">
        <v>29</v>
      </c>
      <c r="C68" s="100"/>
      <c r="D68" s="100"/>
      <c r="E68" s="100"/>
      <c r="F68" s="100"/>
      <c r="G68" s="100"/>
      <c r="H68" s="100"/>
      <c r="I68" s="100"/>
      <c r="J68" s="100"/>
      <c r="K68" s="100"/>
      <c r="L68" s="100"/>
      <c r="M68" s="100"/>
    </row>
    <row r="69" spans="2:13" ht="53.45" customHeight="1" x14ac:dyDescent="0.35">
      <c r="B69" s="99" t="s">
        <v>30</v>
      </c>
      <c r="C69" s="99"/>
      <c r="D69" s="99"/>
      <c r="E69" s="99"/>
      <c r="F69" s="99"/>
      <c r="G69" s="99"/>
      <c r="H69" s="99"/>
      <c r="I69" s="99"/>
      <c r="J69" s="99"/>
      <c r="K69" s="99"/>
      <c r="L69" s="99"/>
      <c r="M69" s="47"/>
    </row>
    <row r="70" spans="2:13" x14ac:dyDescent="0.35">
      <c r="B70" s="100" t="s">
        <v>31</v>
      </c>
      <c r="C70" s="100"/>
      <c r="D70" s="100"/>
      <c r="E70" s="100"/>
      <c r="F70" s="100"/>
      <c r="G70" s="100"/>
      <c r="H70" s="100"/>
      <c r="I70" s="100"/>
      <c r="J70" s="100"/>
      <c r="K70" s="100"/>
      <c r="L70" s="100"/>
      <c r="M70" s="100"/>
    </row>
    <row r="71" spans="2:13" ht="47.45" customHeight="1" x14ac:dyDescent="0.35">
      <c r="B71" s="99" t="s">
        <v>32</v>
      </c>
      <c r="C71" s="99"/>
      <c r="D71" s="99"/>
      <c r="E71" s="99"/>
      <c r="F71" s="99"/>
      <c r="G71" s="99"/>
      <c r="H71" s="99"/>
      <c r="I71" s="99"/>
      <c r="J71" s="99"/>
      <c r="K71" s="99"/>
      <c r="L71" s="99"/>
      <c r="M71" s="47"/>
    </row>
    <row r="72" spans="2:13" x14ac:dyDescent="0.35">
      <c r="B72" s="100" t="s">
        <v>33</v>
      </c>
      <c r="C72" s="100"/>
      <c r="D72" s="100"/>
      <c r="E72" s="100"/>
      <c r="F72" s="100"/>
      <c r="G72" s="100"/>
      <c r="H72" s="100"/>
      <c r="I72" s="100"/>
      <c r="J72" s="100"/>
      <c r="K72" s="100"/>
      <c r="L72" s="100"/>
      <c r="M72" s="100"/>
    </row>
    <row r="73" spans="2:13" ht="60" customHeight="1" x14ac:dyDescent="0.35">
      <c r="B73" s="99" t="s">
        <v>34</v>
      </c>
      <c r="C73" s="99"/>
      <c r="D73" s="99"/>
      <c r="E73" s="99"/>
      <c r="F73" s="99"/>
      <c r="G73" s="99"/>
      <c r="H73" s="99"/>
      <c r="I73" s="99"/>
      <c r="J73" s="99"/>
      <c r="K73" s="99"/>
      <c r="L73" s="99"/>
      <c r="M73" s="47"/>
    </row>
    <row r="74" spans="2:13" x14ac:dyDescent="0.35">
      <c r="B74" s="100" t="s">
        <v>35</v>
      </c>
      <c r="C74" s="100"/>
      <c r="D74" s="100"/>
      <c r="E74" s="100"/>
      <c r="F74" s="100"/>
      <c r="G74" s="100"/>
      <c r="H74" s="100"/>
      <c r="I74" s="100"/>
      <c r="J74" s="100"/>
      <c r="K74" s="100"/>
      <c r="L74" s="100"/>
      <c r="M74" s="100"/>
    </row>
    <row r="75" spans="2:13" ht="29.45" customHeight="1" x14ac:dyDescent="0.35">
      <c r="B75" s="99" t="s">
        <v>36</v>
      </c>
      <c r="C75" s="99"/>
      <c r="D75" s="99"/>
      <c r="E75" s="99"/>
      <c r="F75" s="99"/>
      <c r="G75" s="99"/>
      <c r="H75" s="99"/>
      <c r="I75" s="99"/>
      <c r="J75" s="99"/>
      <c r="K75" s="99"/>
      <c r="L75" s="99"/>
      <c r="M75" s="47"/>
    </row>
    <row r="76" spans="2:13" x14ac:dyDescent="0.35">
      <c r="B76" s="100" t="s">
        <v>37</v>
      </c>
      <c r="C76" s="100"/>
      <c r="D76" s="100"/>
      <c r="E76" s="100"/>
      <c r="F76" s="100"/>
      <c r="G76" s="100"/>
      <c r="H76" s="100"/>
      <c r="I76" s="100"/>
      <c r="J76" s="100"/>
      <c r="K76" s="100"/>
      <c r="L76" s="100"/>
      <c r="M76" s="100"/>
    </row>
    <row r="77" spans="2:13" ht="31.9" customHeight="1" x14ac:dyDescent="0.35">
      <c r="B77" s="99" t="s">
        <v>38</v>
      </c>
      <c r="C77" s="99"/>
      <c r="D77" s="99"/>
      <c r="E77" s="99"/>
      <c r="F77" s="99"/>
      <c r="G77" s="99"/>
      <c r="H77" s="99"/>
      <c r="I77" s="99"/>
      <c r="J77" s="99"/>
      <c r="K77" s="99"/>
      <c r="L77" s="99"/>
      <c r="M77" s="47"/>
    </row>
    <row r="78" spans="2:13" x14ac:dyDescent="0.35">
      <c r="B78" s="45"/>
      <c r="C78" s="44"/>
      <c r="D78" s="44"/>
      <c r="E78" s="45"/>
      <c r="F78" s="44"/>
      <c r="G78" s="44"/>
      <c r="H78" s="44"/>
      <c r="I78" s="44"/>
      <c r="J78" s="44"/>
      <c r="K78" s="44"/>
      <c r="L78" s="44"/>
      <c r="M78" s="44"/>
    </row>
    <row r="79" spans="2:13" x14ac:dyDescent="0.35">
      <c r="B79" s="53" t="s">
        <v>40</v>
      </c>
      <c r="C79" s="44"/>
      <c r="D79" s="44"/>
      <c r="E79" s="45"/>
      <c r="F79" s="44"/>
      <c r="G79" s="44"/>
      <c r="H79" s="44"/>
      <c r="I79" s="44"/>
      <c r="J79" s="44"/>
      <c r="K79" s="44"/>
      <c r="L79" s="44"/>
      <c r="M79" s="44"/>
    </row>
    <row r="80" spans="2:13" x14ac:dyDescent="0.35">
      <c r="B80" s="54" t="s">
        <v>41</v>
      </c>
      <c r="C80" s="44"/>
      <c r="D80" s="44"/>
      <c r="E80" s="45"/>
      <c r="F80" s="44"/>
      <c r="G80" s="44"/>
      <c r="H80" s="44"/>
      <c r="I80" s="44"/>
      <c r="J80" s="44"/>
      <c r="K80" s="44"/>
      <c r="L80" s="44"/>
      <c r="M80" s="44"/>
    </row>
  </sheetData>
  <mergeCells count="62">
    <mergeCell ref="E35:E36"/>
    <mergeCell ref="D17:D36"/>
    <mergeCell ref="E41:E44"/>
    <mergeCell ref="D38:D44"/>
    <mergeCell ref="E52:E53"/>
    <mergeCell ref="D45:D53"/>
    <mergeCell ref="E38:E40"/>
    <mergeCell ref="E45:E51"/>
    <mergeCell ref="B74:M74"/>
    <mergeCell ref="B75:L75"/>
    <mergeCell ref="B76:M76"/>
    <mergeCell ref="B77:L77"/>
    <mergeCell ref="E17:E20"/>
    <mergeCell ref="E25:E26"/>
    <mergeCell ref="E27:E29"/>
    <mergeCell ref="E30:E31"/>
    <mergeCell ref="E32:E34"/>
    <mergeCell ref="B68:M68"/>
    <mergeCell ref="B69:L69"/>
    <mergeCell ref="B70:M70"/>
    <mergeCell ref="B71:L71"/>
    <mergeCell ref="B72:M72"/>
    <mergeCell ref="B73:L73"/>
    <mergeCell ref="B66:L66"/>
    <mergeCell ref="B67:L67"/>
    <mergeCell ref="N35:N53"/>
    <mergeCell ref="N24:N25"/>
    <mergeCell ref="N26:N27"/>
    <mergeCell ref="N28:N29"/>
    <mergeCell ref="N30:N31"/>
    <mergeCell ref="N32:N34"/>
    <mergeCell ref="K25:K26"/>
    <mergeCell ref="K27:K29"/>
    <mergeCell ref="K30:K31"/>
    <mergeCell ref="K32:K34"/>
    <mergeCell ref="K35:K36"/>
    <mergeCell ref="K38:K40"/>
    <mergeCell ref="K41:K44"/>
    <mergeCell ref="K45:K51"/>
    <mergeCell ref="K52:K53"/>
    <mergeCell ref="N18:N19"/>
    <mergeCell ref="N20:N21"/>
    <mergeCell ref="E21:E22"/>
    <mergeCell ref="N22:N23"/>
    <mergeCell ref="E23:E24"/>
    <mergeCell ref="J3:J4"/>
    <mergeCell ref="K3:K4"/>
    <mergeCell ref="C6:K6"/>
    <mergeCell ref="F8:G8"/>
    <mergeCell ref="I8:J8"/>
    <mergeCell ref="F9:G9"/>
    <mergeCell ref="I9:J9"/>
    <mergeCell ref="K17:K20"/>
    <mergeCell ref="K21:K22"/>
    <mergeCell ref="K23:K24"/>
    <mergeCell ref="F10:G10"/>
    <mergeCell ref="I10:J10"/>
    <mergeCell ref="F11:G11"/>
    <mergeCell ref="I11:J11"/>
    <mergeCell ref="F12:G12"/>
    <mergeCell ref="I12:J12"/>
    <mergeCell ref="F13:G13"/>
  </mergeCells>
  <pageMargins left="0.23622047244094491" right="0.23622047244094491" top="0.74803149606299213" bottom="0.74803149606299213" header="0.31496062992125984" footer="0.31496062992125984"/>
  <pageSetup fitToWidth="5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5</vt:i4>
      </vt:variant>
    </vt:vector>
  </HeadingPairs>
  <TitlesOfParts>
    <vt:vector size="8" baseType="lpstr">
      <vt:lpstr>A0LCDAAS01</vt:lpstr>
      <vt:lpstr>C2LCSADM01</vt:lpstr>
      <vt:lpstr>1 - COT. RESUMEN ACTUALIZADA</vt:lpstr>
      <vt:lpstr>'1 - COT. RESUMEN ACTUALIZADA'!_MailAutoSig</vt:lpstr>
      <vt:lpstr>A0LCDAAS01!_MailAutoSig</vt:lpstr>
      <vt:lpstr>'C2LCSADM01'!_MailAutoSig</vt:lpstr>
      <vt:lpstr>'1 - COT. RESUMEN ACTUALIZADA'!Área_de_impresión</vt:lpstr>
      <vt:lpstr>A0LCDAAS01!Área_de_impresión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Diseno OH</dc:creator>
  <cp:lastModifiedBy>Ventas Ohffice 2</cp:lastModifiedBy>
  <cp:lastPrinted>2024-10-04T15:43:06Z</cp:lastPrinted>
  <dcterms:created xsi:type="dcterms:W3CDTF">2024-01-17T11:21:43Z</dcterms:created>
  <dcterms:modified xsi:type="dcterms:W3CDTF">2024-10-16T14:00:27Z</dcterms:modified>
</cp:coreProperties>
</file>