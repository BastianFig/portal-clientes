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altamirano\Downloads\"/>
    </mc:Choice>
  </mc:AlternateContent>
  <bookViews>
    <workbookView xWindow="-120" yWindow="-120" windowWidth="20736" windowHeight="11160"/>
  </bookViews>
  <sheets>
    <sheet name="COT.6175" sheetId="1" r:id="rId1"/>
  </sheets>
  <definedNames>
    <definedName name="_xlnm.Print_Area" localSheetId="0">'COT.6175'!$B$2:$G$120</definedName>
  </definedNames>
  <calcPr calcId="152511"/>
</workbook>
</file>

<file path=xl/calcChain.xml><?xml version="1.0" encoding="utf-8"?>
<calcChain xmlns="http://schemas.openxmlformats.org/spreadsheetml/2006/main">
  <c r="G50" i="1" l="1"/>
  <c r="G22" i="1"/>
  <c r="G21" i="1"/>
  <c r="G84" i="1"/>
  <c r="G61" i="1"/>
  <c r="G62" i="1"/>
  <c r="G85" i="1" l="1"/>
  <c r="G86" i="1"/>
  <c r="G87" i="1"/>
  <c r="G88" i="1"/>
  <c r="G89" i="1"/>
  <c r="G83" i="1"/>
  <c r="G78" i="1"/>
  <c r="G77" i="1"/>
  <c r="G72" i="1"/>
  <c r="G73" i="1" s="1"/>
  <c r="G67" i="1"/>
  <c r="G68" i="1"/>
  <c r="G66" i="1"/>
  <c r="G58" i="1"/>
  <c r="G59" i="1"/>
  <c r="G60" i="1"/>
  <c r="G57" i="1"/>
  <c r="G51" i="1"/>
  <c r="G52" i="1"/>
  <c r="G49" i="1"/>
  <c r="G53" i="1" s="1"/>
  <c r="G44" i="1"/>
  <c r="G45" i="1"/>
  <c r="G43" i="1"/>
  <c r="G36" i="1"/>
  <c r="G37" i="1"/>
  <c r="G38" i="1"/>
  <c r="G35" i="1"/>
  <c r="G27" i="1"/>
  <c r="G28" i="1"/>
  <c r="G30" i="1"/>
  <c r="G19" i="1"/>
  <c r="G20" i="1"/>
  <c r="G29" i="1"/>
  <c r="G18" i="1"/>
  <c r="G63" i="1" l="1"/>
  <c r="G69" i="1"/>
  <c r="G23" i="1"/>
  <c r="G31" i="1"/>
  <c r="G39" i="1"/>
  <c r="G79" i="1"/>
  <c r="G90" i="1"/>
  <c r="G46" i="1"/>
  <c r="G92" i="1" l="1"/>
  <c r="G93" i="1" s="1"/>
  <c r="G94" i="1" l="1"/>
  <c r="G97" i="1" s="1"/>
  <c r="G98" i="1" s="1"/>
  <c r="G99" i="1" s="1"/>
</calcChain>
</file>

<file path=xl/sharedStrings.xml><?xml version="1.0" encoding="utf-8"?>
<sst xmlns="http://schemas.openxmlformats.org/spreadsheetml/2006/main" count="198" uniqueCount="128">
  <si>
    <t>PROYECTO:</t>
  </si>
  <si>
    <t>CLIENTE:</t>
  </si>
  <si>
    <t>AVDA DEL PARQUE  5275 OF.104</t>
  </si>
  <si>
    <t>DIRECCION:</t>
  </si>
  <si>
    <t>TELEFONO 222482880</t>
  </si>
  <si>
    <t>ATENCION</t>
  </si>
  <si>
    <t>www.ohffice.cl</t>
  </si>
  <si>
    <t>FECHA:</t>
  </si>
  <si>
    <t>DESCRIPCIÓN</t>
  </si>
  <si>
    <t>CANTIDAD</t>
  </si>
  <si>
    <t>TOTAL ($)</t>
  </si>
  <si>
    <t>TOTAL</t>
  </si>
  <si>
    <t>NETO</t>
  </si>
  <si>
    <t>Atte.</t>
  </si>
  <si>
    <t>OHFFICE SpA</t>
  </si>
  <si>
    <t>Av del Parque N° 5275, Of # 104, Huechuraba, Santiago</t>
  </si>
  <si>
    <t>Rut: 77.570.810-7</t>
  </si>
  <si>
    <t>Giro: Mobiliario de Oficina.</t>
  </si>
  <si>
    <t>Web: www.ohffice.cl</t>
  </si>
  <si>
    <t>IVA</t>
  </si>
  <si>
    <t>Paola Yanquez Castellanos</t>
  </si>
  <si>
    <t>Cel.: 961116599</t>
  </si>
  <si>
    <t>e-mail: paola.yanquez@ohffice.cl</t>
  </si>
  <si>
    <t>Teléfono: 02-2-2482880, Cel: 961116599</t>
  </si>
  <si>
    <t>ESTA COTIZACION TIENE 10 DIAS DE VALIDEZ</t>
  </si>
  <si>
    <t>FORMA DE PAGO 
PROYECTOS</t>
  </si>
  <si>
    <t>50% ANTICIPO</t>
  </si>
  <si>
    <t>40% PREVIO AL DESPACHO</t>
  </si>
  <si>
    <t xml:space="preserve">10% RECEPCIÓN FINAL </t>
  </si>
  <si>
    <t>PROYECTOS CON SOLO 
SILLAS</t>
  </si>
  <si>
    <t xml:space="preserve">50% RECEPCIÓN FINAL </t>
  </si>
  <si>
    <t>CONSIDERESE 25 DIAS HABILES DE FABRICACION</t>
  </si>
  <si>
    <t>CONSIEDRESE 5 AÑOS DE GARANTIA POR DEFECTO DE FABRICA</t>
  </si>
  <si>
    <t>PU UF $</t>
  </si>
  <si>
    <t>ITEM</t>
  </si>
  <si>
    <t>CODIGO</t>
  </si>
  <si>
    <t>SUB TOTAL 1</t>
  </si>
  <si>
    <t>SUBTOTAL 2</t>
  </si>
  <si>
    <t xml:space="preserve">FLETE </t>
  </si>
  <si>
    <t>INSTALACION</t>
  </si>
  <si>
    <t>HABILIATACION PROYECTO TERCER PISO ANDES MOTOR</t>
  </si>
  <si>
    <t>NELSON ALTAMIRANO</t>
  </si>
  <si>
    <t>COTIZACION ZONA BENCH</t>
  </si>
  <si>
    <t>CUR25.15070.A</t>
  </si>
  <si>
    <t>OH10259.A</t>
  </si>
  <si>
    <t>CUBIERTA RECTA (25MM)DE 150 X 70 LAMINADO A</t>
  </si>
  <si>
    <t>MUEBLE TIPO JARDINERA DE 140 X 50 X 90 LAM A C/ESTRUCTURA ME</t>
  </si>
  <si>
    <t>COTIZACION SOFTSEATING</t>
  </si>
  <si>
    <t>GN.0011</t>
  </si>
  <si>
    <t>CONJUNTO FLOAT 23701 4 POSICIONES</t>
  </si>
  <si>
    <t>GN.0012</t>
  </si>
  <si>
    <t>POLTRONA FLOAT (23131)</t>
  </si>
  <si>
    <t>GN.0013</t>
  </si>
  <si>
    <t>MESA FLOAT (23963)</t>
  </si>
  <si>
    <t>COTIZACION SALAS DE REUNION GRANDES</t>
  </si>
  <si>
    <t>INT1380</t>
  </si>
  <si>
    <t>EST LIGHT 360X110 PF5050 C/CNLDBL</t>
  </si>
  <si>
    <t>CUR25.180110.A</t>
  </si>
  <si>
    <t>CUBIERTA RECTA (25MM)DE 180 X 110 LAMINADO A</t>
  </si>
  <si>
    <t>OEXH106</t>
  </si>
  <si>
    <t>MODULO ELECTRICO CON SISTEMA DE ROTACION_GRIS</t>
  </si>
  <si>
    <t>INT312</t>
  </si>
  <si>
    <t>VERTEBRA RIGIDA H=540 REGULABLE HASTA 725</t>
  </si>
  <si>
    <t>COTIZACION SALAS DE REUNION PEQUEÑAS</t>
  </si>
  <si>
    <t>INT1344</t>
  </si>
  <si>
    <t>PILAR BASE MET.0600 TB 5  H=725 C/CAJA P/CAJA SIMPLE (NOINCL</t>
  </si>
  <si>
    <t>OECL202</t>
  </si>
  <si>
    <t>MODULO ELECTRICO SUBE Y BAJA_ALUMINIO</t>
  </si>
  <si>
    <t>COTIZACION ZONA DE ESCRITORIOS ALTOS Y BAJOS EN PASILLO</t>
  </si>
  <si>
    <t>COTIZACION ZONA PRIVADOS</t>
  </si>
  <si>
    <t>CUR25.16070.A</t>
  </si>
  <si>
    <t>CUBIERTA RECTA (25MM)DE 160 X 70 LAMINADO A</t>
  </si>
  <si>
    <t>OH10260.A</t>
  </si>
  <si>
    <t>ECRITORIO DE 160 X 70, C/ESTRUCTURA METALICA 50/50 LAM A</t>
  </si>
  <si>
    <t>COTIZACION ZONA KITCHENETTE</t>
  </si>
  <si>
    <t>CUD25.80.A</t>
  </si>
  <si>
    <t>CUBIERTA DIAMETRO 80 (25MM) LAMINADO A</t>
  </si>
  <si>
    <t>PILAR500</t>
  </si>
  <si>
    <t>PILAR BASE 500MM H715</t>
  </si>
  <si>
    <t>COTIZACION ZONA  LOCKERS</t>
  </si>
  <si>
    <t>COTIZACION SILLAS Y TABURETES</t>
  </si>
  <si>
    <t>COTIZACION ZONA CAPACITACION</t>
  </si>
  <si>
    <t>INT1381</t>
  </si>
  <si>
    <t>EST LIGHT 150X70 PF5050 S/E</t>
  </si>
  <si>
    <t>PG4730182.046</t>
  </si>
  <si>
    <t>SILLA YON (47301)_SINCRO_BRAZO SL_RESP NEGRO_(POL)ASTO NEGR</t>
  </si>
  <si>
    <t>MA461070002.A06</t>
  </si>
  <si>
    <t>SILLA FIJA MATCH (46107)_ EST NEGRA_PLAS NEG_PALETA NEGRA</t>
  </si>
  <si>
    <t>MA461070001.A06</t>
  </si>
  <si>
    <t>SILLA FIJA MATCH (46107)_ EST NEGRA_PLAS NEG_PALETA NEGRA  D</t>
  </si>
  <si>
    <t>SB1402001.133</t>
  </si>
  <si>
    <t>TABURETE FUN (14020)_EST.CROMADA_ GRIS</t>
  </si>
  <si>
    <t>CF4100803.917</t>
  </si>
  <si>
    <t>SILLA JOY (41008)_BLANCO</t>
  </si>
  <si>
    <t>INMOBILIARIA KAUFMANN SA</t>
  </si>
  <si>
    <t>OH10297.M</t>
  </si>
  <si>
    <t>LOCKERS 12 CASILLEROS 154X50X166 FULL MEL.C/SIST.CERRADURA I</t>
  </si>
  <si>
    <t>GP.805070.A</t>
  </si>
  <si>
    <t>GABINETE BAJO PEDESTAL 2 PUERTAS DE 80 X 50 X 70,5  LAM A</t>
  </si>
  <si>
    <t>CUR25.16050.A</t>
  </si>
  <si>
    <t>CUBIERTA RECTA (25MM)DE 160 X 50 LAMINADO A</t>
  </si>
  <si>
    <t>CE4700001</t>
  </si>
  <si>
    <t>CABECERO SILLA YON</t>
  </si>
  <si>
    <t>DESCUENTO 25%</t>
  </si>
  <si>
    <t>INT1432</t>
  </si>
  <si>
    <t>EST LIGHT 450X140 PF5050 C/E MDLSMPL Y CNLDBL</t>
  </si>
  <si>
    <t>BIOM VIDR.130X30</t>
  </si>
  <si>
    <t>KIT BIOMBO VIDRO DE 130 X 30</t>
  </si>
  <si>
    <t>GP.705070.A</t>
  </si>
  <si>
    <t>GABINETE BAJO PEDESTAL 2 PUERTAS DE 70 X 50 X 70,5  LAM A</t>
  </si>
  <si>
    <t>CUR25.15050.A</t>
  </si>
  <si>
    <t>CUBIERTA RECTA (25MM)DE 150 X 50 LAMINADO A</t>
  </si>
  <si>
    <t>PILAR5050</t>
  </si>
  <si>
    <t>PILAR CUADRADO 5050MM H725 SIMPLE</t>
  </si>
  <si>
    <t>OH10395.E</t>
  </si>
  <si>
    <t xml:space="preserve">CUBIERTA RECTA DE 240 X 60 LAM E </t>
  </si>
  <si>
    <t>OH10394.M</t>
  </si>
  <si>
    <t>GABINETE LATERAL DE  120 X 53 X 62 FULL MELAMINA</t>
  </si>
  <si>
    <t>CAJA1X1</t>
  </si>
  <si>
    <t>CAJA ELECTRICA 1*1</t>
  </si>
  <si>
    <t>OH10393.E</t>
  </si>
  <si>
    <t>CONJUNTO KITCHENETTE DE 240 LAM E , C/CJTO AEREO, CUB.CUARZO</t>
  </si>
  <si>
    <t>CF3400602.928</t>
  </si>
  <si>
    <t>SILLA FIJA GO (34006A)_ BASE TRINEO_ EST.CROM_C/BRAZO_NARANJ</t>
  </si>
  <si>
    <t>OH10396.E</t>
  </si>
  <si>
    <t xml:space="preserve">CUBIERTA DIAMETRO 120 LAM E </t>
  </si>
  <si>
    <t>OH10409</t>
  </si>
  <si>
    <t>PILAR 50/50 h 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</si>
</sst>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 * #,##0_ ;_ * \-#,##0_ ;_ * &quot;-&quot;_ ;_ @_ "/>
    <numFmt numFmtId="164" formatCode="_(&quot;$&quot;* #,##0_);_(&quot;$&quot;* \(#,##0\);_(&quot;$&quot;* &quot;-&quot;_);_(@_)"/>
    <numFmt numFmtId="165" formatCode="&quot;$&quot;\ #,##0"/>
    <numFmt numFmtId="166" formatCode="_-&quot;$&quot;* #,##0_-;\-&quot;$&quot;* #,##0_-;_-&quot;$&quot;* &quot;-&quot;_-;_-@_-"/>
    <numFmt numFmtId="167" formatCode="dd/mm/yyyy;@"/>
    <numFmt numFmtId="168" formatCode="_ [$$-340A]* #,##0_ ;_ [$$-340A]* \-#,##0_ ;_ [$$-340A]* &quot;-&quot;??_ ;_ @_ "/>
    <numFmt numFmtId="169" formatCode="_ * #,##0.00_ ;_ * \-#,##0.00_ ;_ * &quot;-&quot;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u/>
      <sz val="10"/>
      <color theme="10"/>
      <name val="Calibri Light"/>
      <family val="2"/>
    </font>
    <font>
      <sz val="10"/>
      <name val="Calibri Light"/>
      <family val="2"/>
    </font>
    <font>
      <sz val="18"/>
      <color theme="1"/>
      <name val="Calibri Light"/>
      <family val="2"/>
    </font>
    <font>
      <b/>
      <sz val="11"/>
      <color theme="1"/>
      <name val="Calibri"/>
      <family val="2"/>
      <scheme val="minor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91">
    <xf numFmtId="0" fontId="0" fillId="0" borderId="0" xfId="0"/>
    <xf numFmtId="165" fontId="5" fillId="3" borderId="3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165" fontId="4" fillId="3" borderId="3" xfId="0" applyNumberFormat="1" applyFont="1" applyFill="1" applyBorder="1" applyAlignment="1">
      <alignment vertical="center"/>
    </xf>
    <xf numFmtId="15" fontId="5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7" fillId="2" borderId="8" xfId="0" applyFont="1" applyFill="1" applyBorder="1"/>
    <xf numFmtId="0" fontId="7" fillId="2" borderId="8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4" fillId="2" borderId="9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/>
    <xf numFmtId="0" fontId="5" fillId="3" borderId="10" xfId="0" applyFont="1" applyFill="1" applyBorder="1" applyAlignment="1">
      <alignment vertical="center"/>
    </xf>
    <xf numFmtId="0" fontId="3" fillId="2" borderId="10" xfId="0" applyFont="1" applyFill="1" applyBorder="1"/>
    <xf numFmtId="0" fontId="3" fillId="2" borderId="11" xfId="0" applyFont="1" applyFill="1" applyBorder="1"/>
    <xf numFmtId="15" fontId="5" fillId="3" borderId="5" xfId="0" applyNumberFormat="1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65" fontId="0" fillId="0" borderId="0" xfId="0" applyNumberFormat="1"/>
    <xf numFmtId="0" fontId="8" fillId="4" borderId="4" xfId="0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 vertical="center"/>
    </xf>
    <xf numFmtId="167" fontId="10" fillId="5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5" fontId="10" fillId="5" borderId="4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65" fontId="10" fillId="2" borderId="4" xfId="1" applyNumberFormat="1" applyFont="1" applyFill="1" applyBorder="1" applyAlignment="1">
      <alignment horizontal="right" vertical="center"/>
    </xf>
    <xf numFmtId="0" fontId="12" fillId="0" borderId="4" xfId="0" applyFont="1" applyBorder="1"/>
    <xf numFmtId="165" fontId="12" fillId="0" borderId="4" xfId="0" applyNumberFormat="1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2" xfId="0" applyBorder="1"/>
    <xf numFmtId="1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165" fontId="10" fillId="2" borderId="0" xfId="1" applyNumberFormat="1" applyFont="1" applyFill="1" applyBorder="1" applyAlignment="1">
      <alignment horizontal="right" vertical="center"/>
    </xf>
    <xf numFmtId="168" fontId="12" fillId="0" borderId="4" xfId="0" applyNumberFormat="1" applyFont="1" applyBorder="1"/>
    <xf numFmtId="0" fontId="0" fillId="2" borderId="0" xfId="0" applyFill="1"/>
    <xf numFmtId="4" fontId="0" fillId="0" borderId="0" xfId="0" applyNumberFormat="1"/>
    <xf numFmtId="169" fontId="0" fillId="0" borderId="0" xfId="3" applyNumberFormat="1" applyFont="1"/>
    <xf numFmtId="0" fontId="13" fillId="0" borderId="24" xfId="0" applyFont="1" applyBorder="1" applyAlignment="1">
      <alignment horizontal="left" vertical="top" wrapText="1"/>
    </xf>
    <xf numFmtId="1" fontId="14" fillId="0" borderId="24" xfId="0" applyNumberFormat="1" applyFont="1" applyBorder="1" applyAlignment="1">
      <alignment horizontal="center" vertical="top" shrinkToFit="1"/>
    </xf>
    <xf numFmtId="3" fontId="14" fillId="0" borderId="24" xfId="0" applyNumberFormat="1" applyFont="1" applyBorder="1" applyAlignment="1">
      <alignment horizontal="right" vertical="top" shrinkToFit="1"/>
    </xf>
    <xf numFmtId="164" fontId="13" fillId="2" borderId="4" xfId="1" applyFont="1" applyFill="1" applyBorder="1" applyAlignment="1">
      <alignment horizontal="center" vertical="center"/>
    </xf>
    <xf numFmtId="165" fontId="15" fillId="2" borderId="4" xfId="1" applyNumberFormat="1" applyFont="1" applyFill="1" applyBorder="1" applyAlignment="1">
      <alignment horizontal="right" vertical="center"/>
    </xf>
    <xf numFmtId="165" fontId="15" fillId="2" borderId="0" xfId="1" applyNumberFormat="1" applyFont="1" applyFill="1" applyBorder="1" applyAlignment="1">
      <alignment horizontal="right" vertical="center"/>
    </xf>
    <xf numFmtId="0" fontId="16" fillId="0" borderId="4" xfId="0" applyFont="1" applyBorder="1"/>
    <xf numFmtId="165" fontId="16" fillId="0" borderId="4" xfId="0" applyNumberFormat="1" applyFont="1" applyBorder="1"/>
    <xf numFmtId="1" fontId="11" fillId="2" borderId="19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left" vertical="top" wrapText="1"/>
    </xf>
    <xf numFmtId="1" fontId="14" fillId="0" borderId="25" xfId="0" applyNumberFormat="1" applyFont="1" applyBorder="1" applyAlignment="1">
      <alignment horizontal="center" vertical="top" shrinkToFit="1"/>
    </xf>
    <xf numFmtId="3" fontId="14" fillId="0" borderId="25" xfId="0" applyNumberFormat="1" applyFont="1" applyBorder="1" applyAlignment="1">
      <alignment horizontal="right" vertical="top" shrinkToFit="1"/>
    </xf>
    <xf numFmtId="164" fontId="13" fillId="2" borderId="19" xfId="1" applyFont="1" applyFill="1" applyBorder="1" applyAlignment="1">
      <alignment horizontal="center" vertical="center"/>
    </xf>
    <xf numFmtId="165" fontId="10" fillId="2" borderId="21" xfId="1" applyNumberFormat="1" applyFont="1" applyFill="1" applyBorder="1" applyAlignment="1">
      <alignment horizontal="right" vertical="center"/>
    </xf>
    <xf numFmtId="165" fontId="15" fillId="2" borderId="21" xfId="1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horizontal="left" vertical="top" wrapText="1"/>
    </xf>
    <xf numFmtId="1" fontId="14" fillId="0" borderId="4" xfId="0" applyNumberFormat="1" applyFont="1" applyBorder="1" applyAlignment="1">
      <alignment horizontal="center" vertical="top" shrinkToFit="1"/>
    </xf>
    <xf numFmtId="3" fontId="14" fillId="0" borderId="4" xfId="0" applyNumberFormat="1" applyFont="1" applyBorder="1" applyAlignment="1">
      <alignment horizontal="right" vertical="top" shrinkToFi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">
    <cellStyle name="Hipervínculo" xfId="2" builtinId="8"/>
    <cellStyle name="Millares [0]" xfId="3" builtinId="6"/>
    <cellStyle name="Moneda [0]" xfId="1" builtinId="7"/>
    <cellStyle name="Normal" xfId="0" builtinId="0"/>
  </cellStyles>
  <dxfs count="3"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57772</xdr:rowOff>
    </xdr:from>
    <xdr:to>
      <xdr:col>6</xdr:col>
      <xdr:colOff>438151</xdr:colOff>
      <xdr:row>5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77AA810E-D869-4ADF-AD70-2834C8AE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257797"/>
          <a:ext cx="1571625" cy="713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hffic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7"/>
  <sheetViews>
    <sheetView tabSelected="1" topLeftCell="A10" zoomScale="70" zoomScaleNormal="70" workbookViewId="0">
      <selection activeCell="I90" sqref="I90"/>
    </sheetView>
  </sheetViews>
  <sheetFormatPr baseColWidth="10" defaultColWidth="9.109375" defaultRowHeight="14.4" x14ac:dyDescent="0.3"/>
  <cols>
    <col min="1" max="1" width="9.109375" customWidth="1"/>
    <col min="2" max="2" width="9" customWidth="1"/>
    <col min="3" max="3" width="25.44140625" bestFit="1" customWidth="1"/>
    <col min="4" max="4" width="93.44140625" bestFit="1" customWidth="1"/>
    <col min="5" max="5" width="11.6640625" customWidth="1"/>
    <col min="6" max="6" width="19" customWidth="1"/>
    <col min="7" max="7" width="18.44140625" customWidth="1"/>
    <col min="8" max="8" width="16" customWidth="1"/>
    <col min="9" max="9" width="22.109375" customWidth="1"/>
    <col min="10" max="10" width="15.44140625" bestFit="1" customWidth="1"/>
    <col min="17" max="17" width="55.109375" bestFit="1" customWidth="1"/>
    <col min="22" max="22" width="4" bestFit="1" customWidth="1"/>
  </cols>
  <sheetData>
    <row r="1" spans="1:9" ht="15" thickBot="1" x14ac:dyDescent="0.35">
      <c r="A1" s="10"/>
      <c r="B1" s="14"/>
      <c r="C1" s="14"/>
      <c r="D1" s="15"/>
      <c r="E1" s="14"/>
      <c r="F1" s="16"/>
      <c r="G1" s="16"/>
    </row>
    <row r="2" spans="1:9" x14ac:dyDescent="0.3">
      <c r="A2" s="11"/>
      <c r="B2" s="20"/>
      <c r="C2" s="21"/>
      <c r="D2" s="22"/>
      <c r="E2" s="23"/>
      <c r="F2" s="22"/>
      <c r="G2" s="24"/>
    </row>
    <row r="3" spans="1:9" x14ac:dyDescent="0.3">
      <c r="A3" s="11"/>
      <c r="B3" s="77"/>
      <c r="C3" s="78"/>
      <c r="D3" s="78"/>
      <c r="E3" s="78"/>
      <c r="F3" s="17"/>
      <c r="G3" s="1"/>
    </row>
    <row r="4" spans="1:9" x14ac:dyDescent="0.3">
      <c r="A4" s="11"/>
      <c r="B4" s="77"/>
      <c r="C4" s="78"/>
      <c r="D4" s="78"/>
      <c r="E4" s="78"/>
      <c r="F4" s="2"/>
      <c r="G4" s="1"/>
    </row>
    <row r="5" spans="1:9" x14ac:dyDescent="0.3">
      <c r="A5" s="11"/>
      <c r="B5" s="25" t="s">
        <v>0</v>
      </c>
      <c r="C5" s="2"/>
      <c r="D5" s="2" t="s">
        <v>40</v>
      </c>
      <c r="E5" s="18"/>
      <c r="F5" s="2"/>
      <c r="G5" s="1"/>
    </row>
    <row r="6" spans="1:9" x14ac:dyDescent="0.3">
      <c r="A6" s="11"/>
      <c r="B6" s="25" t="s">
        <v>1</v>
      </c>
      <c r="C6" s="2"/>
      <c r="D6" s="19" t="s">
        <v>94</v>
      </c>
      <c r="E6" s="2"/>
      <c r="F6" s="2" t="s">
        <v>2</v>
      </c>
      <c r="G6" s="3"/>
    </row>
    <row r="7" spans="1:9" x14ac:dyDescent="0.3">
      <c r="A7" s="11"/>
      <c r="B7" s="25" t="s">
        <v>3</v>
      </c>
      <c r="C7" s="2"/>
      <c r="D7" s="2"/>
      <c r="E7" s="19"/>
      <c r="F7" s="2" t="s">
        <v>4</v>
      </c>
      <c r="G7" s="3"/>
    </row>
    <row r="8" spans="1:9" x14ac:dyDescent="0.3">
      <c r="A8" s="11"/>
      <c r="B8" s="25" t="s">
        <v>5</v>
      </c>
      <c r="C8" s="2"/>
      <c r="D8" s="19" t="s">
        <v>41</v>
      </c>
      <c r="E8" s="2"/>
      <c r="F8" s="4" t="s">
        <v>6</v>
      </c>
      <c r="G8" s="5"/>
    </row>
    <row r="9" spans="1:9" x14ac:dyDescent="0.3">
      <c r="A9" s="11"/>
      <c r="B9" s="25" t="s">
        <v>7</v>
      </c>
      <c r="C9" s="2"/>
      <c r="D9" s="6">
        <v>45107</v>
      </c>
      <c r="E9" s="19"/>
      <c r="F9" s="2" t="s">
        <v>20</v>
      </c>
      <c r="G9" s="3"/>
    </row>
    <row r="10" spans="1:9" x14ac:dyDescent="0.3">
      <c r="A10" s="11"/>
      <c r="B10" s="26"/>
      <c r="C10" s="14"/>
      <c r="D10" s="15"/>
      <c r="E10" s="6"/>
      <c r="F10" s="2" t="s">
        <v>21</v>
      </c>
      <c r="G10" s="3"/>
    </row>
    <row r="11" spans="1:9" ht="15" thickBot="1" x14ac:dyDescent="0.35">
      <c r="A11" s="11"/>
      <c r="B11" s="27"/>
      <c r="C11" s="9"/>
      <c r="D11" s="8"/>
      <c r="E11" s="28"/>
      <c r="F11" s="29"/>
      <c r="G11" s="30"/>
    </row>
    <row r="12" spans="1:9" x14ac:dyDescent="0.3">
      <c r="A12" s="11"/>
      <c r="B12" s="14"/>
      <c r="C12" s="14"/>
      <c r="D12" s="15"/>
      <c r="E12" s="6"/>
      <c r="F12" s="2"/>
      <c r="G12" s="2"/>
    </row>
    <row r="13" spans="1:9" x14ac:dyDescent="0.3">
      <c r="A13" s="11"/>
      <c r="B13" s="14"/>
      <c r="C13" s="14"/>
      <c r="D13" s="15"/>
      <c r="E13" s="6"/>
      <c r="F13" s="2"/>
      <c r="G13" s="2"/>
    </row>
    <row r="14" spans="1:9" x14ac:dyDescent="0.3">
      <c r="A14" s="11"/>
      <c r="B14" s="14"/>
      <c r="C14" s="14"/>
      <c r="D14" s="15"/>
      <c r="E14" s="6"/>
      <c r="F14" s="2"/>
      <c r="G14" s="2"/>
    </row>
    <row r="15" spans="1:9" x14ac:dyDescent="0.3">
      <c r="A15" s="11"/>
      <c r="B15" s="14"/>
      <c r="C15" s="14"/>
      <c r="D15" s="7"/>
      <c r="E15" s="6"/>
      <c r="F15" s="2"/>
      <c r="G15" s="2"/>
    </row>
    <row r="16" spans="1:9" ht="23.4" x14ac:dyDescent="0.45">
      <c r="A16" s="11"/>
      <c r="B16" s="14"/>
      <c r="C16" s="14"/>
      <c r="D16" s="32" t="s">
        <v>42</v>
      </c>
      <c r="E16" s="52"/>
      <c r="F16" s="52"/>
      <c r="G16" s="52"/>
      <c r="I16" s="53"/>
    </row>
    <row r="17" spans="1:9" ht="15.6" x14ac:dyDescent="0.3">
      <c r="A17" s="12"/>
      <c r="B17" s="33" t="s">
        <v>34</v>
      </c>
      <c r="C17" s="33" t="s">
        <v>35</v>
      </c>
      <c r="D17" s="34" t="s">
        <v>8</v>
      </c>
      <c r="E17" s="35" t="s">
        <v>9</v>
      </c>
      <c r="F17" s="36" t="s">
        <v>33</v>
      </c>
      <c r="G17" s="36" t="s">
        <v>10</v>
      </c>
    </row>
    <row r="18" spans="1:9" ht="18" x14ac:dyDescent="0.3">
      <c r="A18" s="13"/>
      <c r="B18" s="37">
        <v>1</v>
      </c>
      <c r="C18" s="55" t="s">
        <v>104</v>
      </c>
      <c r="D18" s="55" t="s">
        <v>105</v>
      </c>
      <c r="E18" s="56">
        <v>8</v>
      </c>
      <c r="F18" s="57">
        <v>802400</v>
      </c>
      <c r="G18" s="58">
        <f>F18*E18</f>
        <v>6419200</v>
      </c>
      <c r="I18" s="54"/>
    </row>
    <row r="19" spans="1:9" ht="18" x14ac:dyDescent="0.3">
      <c r="A19" s="13"/>
      <c r="B19" s="37">
        <v>2</v>
      </c>
      <c r="C19" s="55" t="s">
        <v>43</v>
      </c>
      <c r="D19" s="55" t="s">
        <v>45</v>
      </c>
      <c r="E19" s="56">
        <v>48</v>
      </c>
      <c r="F19" s="57">
        <v>126000</v>
      </c>
      <c r="G19" s="58">
        <f t="shared" ref="G19:G22" si="0">F19*E19</f>
        <v>6048000</v>
      </c>
      <c r="I19" s="54"/>
    </row>
    <row r="20" spans="1:9" ht="18" x14ac:dyDescent="0.3">
      <c r="A20" s="13"/>
      <c r="B20" s="63">
        <v>3</v>
      </c>
      <c r="C20" s="64" t="s">
        <v>106</v>
      </c>
      <c r="D20" s="64" t="s">
        <v>107</v>
      </c>
      <c r="E20" s="65">
        <v>24</v>
      </c>
      <c r="F20" s="66">
        <v>119000</v>
      </c>
      <c r="G20" s="67">
        <f t="shared" si="0"/>
        <v>2856000</v>
      </c>
      <c r="I20" s="54"/>
    </row>
    <row r="21" spans="1:9" ht="18" x14ac:dyDescent="0.3">
      <c r="A21" s="13"/>
      <c r="B21" s="63">
        <v>4</v>
      </c>
      <c r="C21" s="64" t="s">
        <v>108</v>
      </c>
      <c r="D21" s="64" t="s">
        <v>109</v>
      </c>
      <c r="E21" s="65"/>
      <c r="F21" s="66">
        <v>185000</v>
      </c>
      <c r="G21" s="67">
        <f t="shared" si="0"/>
        <v>0</v>
      </c>
      <c r="I21" s="54"/>
    </row>
    <row r="22" spans="1:9" ht="18" x14ac:dyDescent="0.3">
      <c r="A22" s="13"/>
      <c r="B22" s="37">
        <v>5</v>
      </c>
      <c r="C22" s="70" t="s">
        <v>110</v>
      </c>
      <c r="D22" s="70" t="s">
        <v>111</v>
      </c>
      <c r="E22" s="71"/>
      <c r="F22" s="72">
        <v>76000</v>
      </c>
      <c r="G22" s="58">
        <f t="shared" si="0"/>
        <v>0</v>
      </c>
      <c r="I22" s="54"/>
    </row>
    <row r="23" spans="1:9" ht="18" x14ac:dyDescent="0.3">
      <c r="A23" s="11"/>
      <c r="B23" s="47"/>
      <c r="C23" s="47"/>
      <c r="D23" s="48"/>
      <c r="E23" s="49"/>
      <c r="F23" s="68" t="s">
        <v>11</v>
      </c>
      <c r="G23" s="69">
        <f>SUM(G18:G22)</f>
        <v>15323200</v>
      </c>
    </row>
    <row r="24" spans="1:9" ht="15.6" x14ac:dyDescent="0.3">
      <c r="A24" s="11"/>
      <c r="B24" s="47"/>
      <c r="C24" s="47"/>
      <c r="D24" s="48"/>
      <c r="E24" s="49"/>
      <c r="F24" s="50"/>
      <c r="G24" s="50"/>
    </row>
    <row r="25" spans="1:9" ht="23.4" x14ac:dyDescent="0.45">
      <c r="A25" s="11"/>
      <c r="B25" s="14"/>
      <c r="C25" s="14"/>
      <c r="D25" s="32" t="s">
        <v>47</v>
      </c>
      <c r="E25" s="52"/>
      <c r="F25" s="52"/>
      <c r="G25" s="52"/>
    </row>
    <row r="26" spans="1:9" ht="15.6" x14ac:dyDescent="0.3">
      <c r="A26" s="11"/>
      <c r="B26" s="33" t="s">
        <v>34</v>
      </c>
      <c r="C26" s="33" t="s">
        <v>35</v>
      </c>
      <c r="D26" s="34" t="s">
        <v>8</v>
      </c>
      <c r="E26" s="35" t="s">
        <v>9</v>
      </c>
      <c r="F26" s="36" t="s">
        <v>33</v>
      </c>
      <c r="G26" s="36" t="s">
        <v>10</v>
      </c>
    </row>
    <row r="27" spans="1:9" ht="18" x14ac:dyDescent="0.3">
      <c r="A27" s="11"/>
      <c r="B27" s="37">
        <v>6</v>
      </c>
      <c r="C27" s="55" t="s">
        <v>48</v>
      </c>
      <c r="D27" s="55" t="s">
        <v>49</v>
      </c>
      <c r="E27" s="56">
        <v>2</v>
      </c>
      <c r="F27" s="57">
        <v>1385189</v>
      </c>
      <c r="G27" s="58">
        <f t="shared" ref="G27:G30" si="1">F27*E27</f>
        <v>2770378</v>
      </c>
    </row>
    <row r="28" spans="1:9" ht="18" x14ac:dyDescent="0.3">
      <c r="A28" s="11"/>
      <c r="B28" s="37">
        <v>7</v>
      </c>
      <c r="C28" s="55" t="s">
        <v>50</v>
      </c>
      <c r="D28" s="55" t="s">
        <v>51</v>
      </c>
      <c r="E28" s="56">
        <v>4</v>
      </c>
      <c r="F28" s="57">
        <v>602955</v>
      </c>
      <c r="G28" s="58">
        <f t="shared" si="1"/>
        <v>2411820</v>
      </c>
    </row>
    <row r="29" spans="1:9" ht="18" x14ac:dyDescent="0.3">
      <c r="A29" s="11"/>
      <c r="B29" s="37">
        <v>8</v>
      </c>
      <c r="C29" s="55" t="s">
        <v>44</v>
      </c>
      <c r="D29" s="55" t="s">
        <v>46</v>
      </c>
      <c r="E29" s="56">
        <v>3</v>
      </c>
      <c r="F29" s="57">
        <v>372000</v>
      </c>
      <c r="G29" s="58">
        <f>F29*E29</f>
        <v>1116000</v>
      </c>
    </row>
    <row r="30" spans="1:9" ht="18" x14ac:dyDescent="0.3">
      <c r="A30" s="11"/>
      <c r="B30" s="37">
        <v>9</v>
      </c>
      <c r="C30" s="55" t="s">
        <v>52</v>
      </c>
      <c r="D30" s="55" t="s">
        <v>53</v>
      </c>
      <c r="E30" s="56">
        <v>2</v>
      </c>
      <c r="F30" s="57">
        <v>222691</v>
      </c>
      <c r="G30" s="58">
        <f t="shared" si="1"/>
        <v>445382</v>
      </c>
    </row>
    <row r="31" spans="1:9" ht="18" x14ac:dyDescent="0.3">
      <c r="A31" s="11"/>
      <c r="B31" s="47"/>
      <c r="C31" s="47"/>
      <c r="D31" s="48"/>
      <c r="E31" s="49"/>
      <c r="F31" s="38" t="s">
        <v>11</v>
      </c>
      <c r="G31" s="59">
        <f>SUM(G27:G30)</f>
        <v>6743580</v>
      </c>
    </row>
    <row r="32" spans="1:9" ht="15.6" x14ac:dyDescent="0.3">
      <c r="A32" s="11"/>
      <c r="B32" s="47"/>
      <c r="C32" s="47"/>
      <c r="D32" s="48"/>
      <c r="E32" s="49"/>
      <c r="F32" s="50"/>
      <c r="G32" s="50"/>
    </row>
    <row r="33" spans="1:7" ht="23.4" x14ac:dyDescent="0.45">
      <c r="A33" s="11"/>
      <c r="B33" s="14"/>
      <c r="C33" s="14"/>
      <c r="D33" s="32" t="s">
        <v>54</v>
      </c>
      <c r="E33" s="52"/>
      <c r="F33" s="52"/>
      <c r="G33" s="52"/>
    </row>
    <row r="34" spans="1:7" ht="15.6" x14ac:dyDescent="0.3">
      <c r="A34" s="11"/>
      <c r="B34" s="33" t="s">
        <v>34</v>
      </c>
      <c r="C34" s="33" t="s">
        <v>35</v>
      </c>
      <c r="D34" s="34" t="s">
        <v>8</v>
      </c>
      <c r="E34" s="35" t="s">
        <v>9</v>
      </c>
      <c r="F34" s="36" t="s">
        <v>33</v>
      </c>
      <c r="G34" s="36" t="s">
        <v>10</v>
      </c>
    </row>
    <row r="35" spans="1:7" ht="18" x14ac:dyDescent="0.3">
      <c r="A35" s="11"/>
      <c r="B35" s="37">
        <v>10</v>
      </c>
      <c r="C35" s="55" t="s">
        <v>55</v>
      </c>
      <c r="D35" s="55" t="s">
        <v>56</v>
      </c>
      <c r="E35" s="56">
        <v>3</v>
      </c>
      <c r="F35" s="57">
        <v>470200</v>
      </c>
      <c r="G35" s="58">
        <f>F35*E35</f>
        <v>1410600</v>
      </c>
    </row>
    <row r="36" spans="1:7" ht="18" x14ac:dyDescent="0.3">
      <c r="A36" s="11"/>
      <c r="B36" s="37">
        <v>11</v>
      </c>
      <c r="C36" s="55" t="s">
        <v>57</v>
      </c>
      <c r="D36" s="55" t="s">
        <v>58</v>
      </c>
      <c r="E36" s="56">
        <v>6</v>
      </c>
      <c r="F36" s="57">
        <v>273000</v>
      </c>
      <c r="G36" s="58">
        <f t="shared" ref="G36:G38" si="2">F36*E36</f>
        <v>1638000</v>
      </c>
    </row>
    <row r="37" spans="1:7" ht="18" x14ac:dyDescent="0.3">
      <c r="A37" s="11"/>
      <c r="B37" s="37">
        <v>12</v>
      </c>
      <c r="C37" s="55" t="s">
        <v>59</v>
      </c>
      <c r="D37" s="55" t="s">
        <v>60</v>
      </c>
      <c r="E37" s="56">
        <v>6</v>
      </c>
      <c r="F37" s="57">
        <v>238000</v>
      </c>
      <c r="G37" s="58">
        <f t="shared" si="2"/>
        <v>1428000</v>
      </c>
    </row>
    <row r="38" spans="1:7" ht="18" x14ac:dyDescent="0.3">
      <c r="A38" s="11"/>
      <c r="B38" s="37">
        <v>13</v>
      </c>
      <c r="C38" s="55" t="s">
        <v>61</v>
      </c>
      <c r="D38" s="55" t="s">
        <v>62</v>
      </c>
      <c r="E38" s="56">
        <v>3</v>
      </c>
      <c r="F38" s="57">
        <v>49600</v>
      </c>
      <c r="G38" s="58">
        <f t="shared" si="2"/>
        <v>148800</v>
      </c>
    </row>
    <row r="39" spans="1:7" ht="18" x14ac:dyDescent="0.3">
      <c r="A39" s="11"/>
      <c r="B39" s="47"/>
      <c r="C39" s="47"/>
      <c r="D39" s="48"/>
      <c r="E39" s="49"/>
      <c r="F39" s="38" t="s">
        <v>11</v>
      </c>
      <c r="G39" s="59">
        <f>SUM(G35:G38)</f>
        <v>4625400</v>
      </c>
    </row>
    <row r="40" spans="1:7" ht="15.6" x14ac:dyDescent="0.3">
      <c r="A40" s="11"/>
      <c r="B40" s="47"/>
      <c r="C40" s="47"/>
      <c r="D40" s="48"/>
      <c r="E40" s="49"/>
      <c r="F40" s="50"/>
      <c r="G40" s="50"/>
    </row>
    <row r="41" spans="1:7" ht="23.4" x14ac:dyDescent="0.45">
      <c r="A41" s="11"/>
      <c r="B41" s="14"/>
      <c r="C41" s="14"/>
      <c r="D41" s="32" t="s">
        <v>63</v>
      </c>
      <c r="E41" s="52"/>
      <c r="F41" s="52"/>
      <c r="G41" s="52"/>
    </row>
    <row r="42" spans="1:7" ht="15.6" x14ac:dyDescent="0.3">
      <c r="A42" s="11"/>
      <c r="B42" s="33" t="s">
        <v>34</v>
      </c>
      <c r="C42" s="33" t="s">
        <v>35</v>
      </c>
      <c r="D42" s="34" t="s">
        <v>8</v>
      </c>
      <c r="E42" s="35" t="s">
        <v>9</v>
      </c>
      <c r="F42" s="36" t="s">
        <v>33</v>
      </c>
      <c r="G42" s="36" t="s">
        <v>10</v>
      </c>
    </row>
    <row r="43" spans="1:7" ht="18" x14ac:dyDescent="0.3">
      <c r="A43" s="11"/>
      <c r="B43" s="37">
        <v>14</v>
      </c>
      <c r="C43" s="55" t="s">
        <v>64</v>
      </c>
      <c r="D43" s="55" t="s">
        <v>65</v>
      </c>
      <c r="E43" s="56">
        <v>4</v>
      </c>
      <c r="F43" s="57">
        <v>229000</v>
      </c>
      <c r="G43" s="58">
        <f>F43*E43</f>
        <v>916000</v>
      </c>
    </row>
    <row r="44" spans="1:7" ht="18" x14ac:dyDescent="0.3">
      <c r="A44" s="11"/>
      <c r="B44" s="37">
        <v>15</v>
      </c>
      <c r="C44" s="55" t="s">
        <v>124</v>
      </c>
      <c r="D44" s="55" t="s">
        <v>125</v>
      </c>
      <c r="E44" s="56">
        <v>4</v>
      </c>
      <c r="F44" s="57">
        <v>181000</v>
      </c>
      <c r="G44" s="58">
        <f t="shared" ref="G44:G45" si="3">F44*E44</f>
        <v>724000</v>
      </c>
    </row>
    <row r="45" spans="1:7" ht="18" x14ac:dyDescent="0.3">
      <c r="A45" s="11"/>
      <c r="B45" s="37">
        <v>16</v>
      </c>
      <c r="C45" s="55" t="s">
        <v>66</v>
      </c>
      <c r="D45" s="55" t="s">
        <v>67</v>
      </c>
      <c r="E45" s="56">
        <v>4</v>
      </c>
      <c r="F45" s="57">
        <v>179000</v>
      </c>
      <c r="G45" s="58">
        <f t="shared" si="3"/>
        <v>716000</v>
      </c>
    </row>
    <row r="46" spans="1:7" ht="18" x14ac:dyDescent="0.3">
      <c r="A46" s="11"/>
      <c r="B46" s="47"/>
      <c r="C46" s="47"/>
      <c r="D46" s="48"/>
      <c r="E46" s="49"/>
      <c r="F46" s="38" t="s">
        <v>11</v>
      </c>
      <c r="G46" s="59">
        <f>SUM(G43:G45)</f>
        <v>2356000</v>
      </c>
    </row>
    <row r="47" spans="1:7" ht="23.4" x14ac:dyDescent="0.45">
      <c r="A47" s="11"/>
      <c r="B47" s="14"/>
      <c r="C47" s="14"/>
      <c r="D47" s="32" t="s">
        <v>68</v>
      </c>
      <c r="E47" s="52"/>
      <c r="F47" s="52"/>
      <c r="G47" s="52"/>
    </row>
    <row r="48" spans="1:7" ht="15.6" x14ac:dyDescent="0.3">
      <c r="A48" s="11"/>
      <c r="B48" s="33" t="s">
        <v>34</v>
      </c>
      <c r="C48" s="33" t="s">
        <v>35</v>
      </c>
      <c r="D48" s="34" t="s">
        <v>8</v>
      </c>
      <c r="E48" s="35" t="s">
        <v>9</v>
      </c>
      <c r="F48" s="36" t="s">
        <v>33</v>
      </c>
      <c r="G48" s="36" t="s">
        <v>10</v>
      </c>
    </row>
    <row r="49" spans="1:7" ht="18" x14ac:dyDescent="0.3">
      <c r="A49" s="11"/>
      <c r="B49" s="37">
        <v>17</v>
      </c>
      <c r="C49" s="55" t="s">
        <v>112</v>
      </c>
      <c r="D49" s="55" t="s">
        <v>113</v>
      </c>
      <c r="E49" s="56">
        <v>18</v>
      </c>
      <c r="F49" s="57">
        <v>20900</v>
      </c>
      <c r="G49" s="58">
        <f>F49*E49</f>
        <v>376200</v>
      </c>
    </row>
    <row r="50" spans="1:7" ht="18" x14ac:dyDescent="0.3">
      <c r="A50" s="11"/>
      <c r="B50" s="37">
        <v>18</v>
      </c>
      <c r="C50" s="55" t="s">
        <v>126</v>
      </c>
      <c r="D50" s="55" t="s">
        <v>127</v>
      </c>
      <c r="E50" s="56">
        <v>24</v>
      </c>
      <c r="F50" s="57">
        <v>27000</v>
      </c>
      <c r="G50" s="58">
        <f>F50*E50</f>
        <v>648000</v>
      </c>
    </row>
    <row r="51" spans="1:7" ht="18" x14ac:dyDescent="0.3">
      <c r="A51" s="11"/>
      <c r="B51" s="37">
        <v>19</v>
      </c>
      <c r="C51" s="55" t="s">
        <v>114</v>
      </c>
      <c r="D51" s="55" t="s">
        <v>115</v>
      </c>
      <c r="E51" s="56">
        <v>7</v>
      </c>
      <c r="F51" s="57">
        <v>187000</v>
      </c>
      <c r="G51" s="58">
        <f t="shared" ref="G51:G52" si="4">F51*E51</f>
        <v>1309000</v>
      </c>
    </row>
    <row r="52" spans="1:7" ht="18" x14ac:dyDescent="0.3">
      <c r="A52" s="11"/>
      <c r="B52" s="37">
        <v>20</v>
      </c>
      <c r="C52" s="55" t="s">
        <v>59</v>
      </c>
      <c r="D52" s="55" t="s">
        <v>60</v>
      </c>
      <c r="E52" s="56">
        <v>7</v>
      </c>
      <c r="F52" s="57">
        <v>238000</v>
      </c>
      <c r="G52" s="58">
        <f t="shared" si="4"/>
        <v>1666000</v>
      </c>
    </row>
    <row r="53" spans="1:7" ht="18" x14ac:dyDescent="0.3">
      <c r="A53" s="11"/>
      <c r="B53" s="47"/>
      <c r="C53" s="47"/>
      <c r="D53" s="48"/>
      <c r="E53" s="49"/>
      <c r="F53" s="38" t="s">
        <v>11</v>
      </c>
      <c r="G53" s="59">
        <f>SUM(G49:G52)</f>
        <v>3999200</v>
      </c>
    </row>
    <row r="54" spans="1:7" ht="15.6" x14ac:dyDescent="0.3">
      <c r="A54" s="11"/>
      <c r="B54" s="47"/>
      <c r="C54" s="47"/>
      <c r="D54" s="48"/>
      <c r="E54" s="49"/>
      <c r="F54" s="50"/>
      <c r="G54" s="50"/>
    </row>
    <row r="55" spans="1:7" ht="23.4" x14ac:dyDescent="0.45">
      <c r="A55" s="11"/>
      <c r="B55" s="14"/>
      <c r="C55" s="14"/>
      <c r="D55" s="32" t="s">
        <v>69</v>
      </c>
      <c r="E55" s="52"/>
      <c r="F55" s="52"/>
      <c r="G55" s="52"/>
    </row>
    <row r="56" spans="1:7" ht="15.6" x14ac:dyDescent="0.3">
      <c r="A56" s="11"/>
      <c r="B56" s="33" t="s">
        <v>34</v>
      </c>
      <c r="C56" s="33" t="s">
        <v>35</v>
      </c>
      <c r="D56" s="34" t="s">
        <v>8</v>
      </c>
      <c r="E56" s="35" t="s">
        <v>9</v>
      </c>
      <c r="F56" s="36" t="s">
        <v>33</v>
      </c>
      <c r="G56" s="36" t="s">
        <v>10</v>
      </c>
    </row>
    <row r="57" spans="1:7" ht="18" x14ac:dyDescent="0.3">
      <c r="A57" s="11"/>
      <c r="B57" s="37">
        <v>21</v>
      </c>
      <c r="C57" s="55" t="s">
        <v>70</v>
      </c>
      <c r="D57" s="55" t="s">
        <v>71</v>
      </c>
      <c r="E57" s="56">
        <v>6</v>
      </c>
      <c r="F57" s="57">
        <v>210000</v>
      </c>
      <c r="G57" s="58">
        <f>F57*E57</f>
        <v>1260000</v>
      </c>
    </row>
    <row r="58" spans="1:7" ht="18" x14ac:dyDescent="0.3">
      <c r="A58" s="11"/>
      <c r="B58" s="37">
        <v>22</v>
      </c>
      <c r="C58" s="55" t="s">
        <v>116</v>
      </c>
      <c r="D58" s="55" t="s">
        <v>117</v>
      </c>
      <c r="E58" s="56">
        <v>6</v>
      </c>
      <c r="F58" s="57">
        <v>402000</v>
      </c>
      <c r="G58" s="58">
        <f t="shared" ref="G58:G59" si="5">F58*E58</f>
        <v>2412000</v>
      </c>
    </row>
    <row r="59" spans="1:7" ht="18" x14ac:dyDescent="0.3">
      <c r="A59" s="11"/>
      <c r="B59" s="37">
        <v>23</v>
      </c>
      <c r="C59" s="55" t="s">
        <v>72</v>
      </c>
      <c r="D59" s="55" t="s">
        <v>73</v>
      </c>
      <c r="E59" s="56">
        <v>6</v>
      </c>
      <c r="F59" s="57">
        <v>381000</v>
      </c>
      <c r="G59" s="58">
        <f t="shared" si="5"/>
        <v>2286000</v>
      </c>
    </row>
    <row r="60" spans="1:7" ht="18" x14ac:dyDescent="0.3">
      <c r="A60" s="11"/>
      <c r="B60" s="37">
        <v>24</v>
      </c>
      <c r="C60" s="55" t="s">
        <v>118</v>
      </c>
      <c r="D60" s="55" t="s">
        <v>119</v>
      </c>
      <c r="E60" s="56">
        <v>6</v>
      </c>
      <c r="F60" s="57">
        <v>48600</v>
      </c>
      <c r="G60" s="58">
        <f>F60*E60</f>
        <v>291600</v>
      </c>
    </row>
    <row r="61" spans="1:7" ht="18" x14ac:dyDescent="0.3">
      <c r="A61" s="11"/>
      <c r="B61" s="37">
        <v>25</v>
      </c>
      <c r="C61" s="55" t="s">
        <v>97</v>
      </c>
      <c r="D61" s="55" t="s">
        <v>98</v>
      </c>
      <c r="E61" s="56">
        <v>12</v>
      </c>
      <c r="F61" s="57">
        <v>187000</v>
      </c>
      <c r="G61" s="58">
        <f t="shared" ref="G61:G62" si="6">F61*E61</f>
        <v>2244000</v>
      </c>
    </row>
    <row r="62" spans="1:7" ht="18" x14ac:dyDescent="0.3">
      <c r="A62" s="11"/>
      <c r="B62" s="37">
        <v>26</v>
      </c>
      <c r="C62" s="55" t="s">
        <v>99</v>
      </c>
      <c r="D62" s="55" t="s">
        <v>100</v>
      </c>
      <c r="E62" s="56">
        <v>6</v>
      </c>
      <c r="F62" s="57">
        <v>124000</v>
      </c>
      <c r="G62" s="58">
        <f t="shared" si="6"/>
        <v>744000</v>
      </c>
    </row>
    <row r="63" spans="1:7" ht="18" x14ac:dyDescent="0.3">
      <c r="A63" s="11"/>
      <c r="B63" s="47"/>
      <c r="C63" s="47"/>
      <c r="D63" s="48"/>
      <c r="E63" s="49"/>
      <c r="F63" s="38" t="s">
        <v>11</v>
      </c>
      <c r="G63" s="59">
        <f>SUM(G57:G62)</f>
        <v>9237600</v>
      </c>
    </row>
    <row r="64" spans="1:7" ht="23.4" x14ac:dyDescent="0.45">
      <c r="A64" s="11"/>
      <c r="B64" s="14"/>
      <c r="C64" s="14"/>
      <c r="D64" s="32" t="s">
        <v>74</v>
      </c>
      <c r="E64" s="52"/>
      <c r="F64" s="52"/>
      <c r="G64" s="52"/>
    </row>
    <row r="65" spans="1:7" ht="15.6" x14ac:dyDescent="0.3">
      <c r="A65" s="11"/>
      <c r="B65" s="33" t="s">
        <v>34</v>
      </c>
      <c r="C65" s="33" t="s">
        <v>35</v>
      </c>
      <c r="D65" s="34" t="s">
        <v>8</v>
      </c>
      <c r="E65" s="35" t="s">
        <v>9</v>
      </c>
      <c r="F65" s="36" t="s">
        <v>33</v>
      </c>
      <c r="G65" s="36" t="s">
        <v>10</v>
      </c>
    </row>
    <row r="66" spans="1:7" ht="18" x14ac:dyDescent="0.3">
      <c r="A66" s="11"/>
      <c r="B66" s="37">
        <v>27</v>
      </c>
      <c r="C66" s="55" t="s">
        <v>75</v>
      </c>
      <c r="D66" s="55" t="s">
        <v>76</v>
      </c>
      <c r="E66" s="56">
        <v>3</v>
      </c>
      <c r="F66" s="57">
        <v>112000</v>
      </c>
      <c r="G66" s="58">
        <f>F66*E66</f>
        <v>336000</v>
      </c>
    </row>
    <row r="67" spans="1:7" ht="18" x14ac:dyDescent="0.3">
      <c r="A67" s="11"/>
      <c r="B67" s="37">
        <v>28</v>
      </c>
      <c r="C67" s="55" t="s">
        <v>77</v>
      </c>
      <c r="D67" s="55" t="s">
        <v>78</v>
      </c>
      <c r="E67" s="56">
        <v>3</v>
      </c>
      <c r="F67" s="57">
        <v>110400</v>
      </c>
      <c r="G67" s="58">
        <f t="shared" ref="G67:G68" si="7">F67*E67</f>
        <v>331200</v>
      </c>
    </row>
    <row r="68" spans="1:7" ht="18" x14ac:dyDescent="0.3">
      <c r="A68" s="11"/>
      <c r="B68" s="37">
        <v>29</v>
      </c>
      <c r="C68" s="55" t="s">
        <v>120</v>
      </c>
      <c r="D68" s="55" t="s">
        <v>121</v>
      </c>
      <c r="E68" s="56">
        <v>1</v>
      </c>
      <c r="F68" s="57">
        <v>2918000</v>
      </c>
      <c r="G68" s="58">
        <f t="shared" si="7"/>
        <v>2918000</v>
      </c>
    </row>
    <row r="69" spans="1:7" ht="18" x14ac:dyDescent="0.3">
      <c r="A69" s="11"/>
      <c r="B69" s="47"/>
      <c r="C69" s="47"/>
      <c r="D69" s="48"/>
      <c r="E69" s="49"/>
      <c r="F69" s="38" t="s">
        <v>11</v>
      </c>
      <c r="G69" s="59">
        <f>SUM(G66:G68)</f>
        <v>3585200</v>
      </c>
    </row>
    <row r="70" spans="1:7" ht="23.4" x14ac:dyDescent="0.45">
      <c r="A70" s="11"/>
      <c r="B70" s="14"/>
      <c r="C70" s="14"/>
      <c r="D70" s="32" t="s">
        <v>79</v>
      </c>
      <c r="E70" s="52"/>
      <c r="F70" s="52"/>
      <c r="G70" s="52"/>
    </row>
    <row r="71" spans="1:7" ht="15.6" x14ac:dyDescent="0.3">
      <c r="A71" s="11"/>
      <c r="B71" s="33" t="s">
        <v>34</v>
      </c>
      <c r="C71" s="33" t="s">
        <v>35</v>
      </c>
      <c r="D71" s="34" t="s">
        <v>8</v>
      </c>
      <c r="E71" s="35" t="s">
        <v>9</v>
      </c>
      <c r="F71" s="36" t="s">
        <v>33</v>
      </c>
      <c r="G71" s="36" t="s">
        <v>10</v>
      </c>
    </row>
    <row r="72" spans="1:7" ht="18" x14ac:dyDescent="0.3">
      <c r="A72" s="11"/>
      <c r="B72" s="37">
        <v>30</v>
      </c>
      <c r="C72" s="55" t="s">
        <v>95</v>
      </c>
      <c r="D72" s="55" t="s">
        <v>96</v>
      </c>
      <c r="E72" s="56">
        <v>5</v>
      </c>
      <c r="F72" s="57">
        <v>957000</v>
      </c>
      <c r="G72" s="58">
        <f>F72*E72</f>
        <v>4785000</v>
      </c>
    </row>
    <row r="73" spans="1:7" ht="18" x14ac:dyDescent="0.3">
      <c r="A73" s="11"/>
      <c r="B73" s="47"/>
      <c r="C73" s="47"/>
      <c r="D73" s="48"/>
      <c r="E73" s="49"/>
      <c r="F73" s="38" t="s">
        <v>11</v>
      </c>
      <c r="G73" s="59">
        <f>SUM(G72:G72)</f>
        <v>4785000</v>
      </c>
    </row>
    <row r="74" spans="1:7" ht="18" x14ac:dyDescent="0.3">
      <c r="A74" s="11"/>
      <c r="B74" s="47"/>
      <c r="C74" s="47"/>
      <c r="D74" s="48"/>
      <c r="E74" s="49"/>
      <c r="F74" s="50"/>
      <c r="G74" s="60"/>
    </row>
    <row r="75" spans="1:7" ht="23.4" x14ac:dyDescent="0.45">
      <c r="A75" s="11"/>
      <c r="B75" s="14"/>
      <c r="C75" s="14"/>
      <c r="D75" s="32" t="s">
        <v>81</v>
      </c>
      <c r="E75" s="52"/>
      <c r="F75" s="52"/>
      <c r="G75" s="52"/>
    </row>
    <row r="76" spans="1:7" ht="15.6" x14ac:dyDescent="0.3">
      <c r="A76" s="11"/>
      <c r="B76" s="33" t="s">
        <v>34</v>
      </c>
      <c r="C76" s="33" t="s">
        <v>35</v>
      </c>
      <c r="D76" s="34" t="s">
        <v>8</v>
      </c>
      <c r="E76" s="35" t="s">
        <v>9</v>
      </c>
      <c r="F76" s="36" t="s">
        <v>33</v>
      </c>
      <c r="G76" s="36" t="s">
        <v>10</v>
      </c>
    </row>
    <row r="77" spans="1:7" ht="18" x14ac:dyDescent="0.3">
      <c r="A77" s="11"/>
      <c r="B77" s="37">
        <v>31</v>
      </c>
      <c r="C77" s="55" t="s">
        <v>82</v>
      </c>
      <c r="D77" s="55" t="s">
        <v>83</v>
      </c>
      <c r="E77" s="56">
        <v>1</v>
      </c>
      <c r="F77" s="57">
        <v>160400</v>
      </c>
      <c r="G77" s="58">
        <f>F77*E77</f>
        <v>160400</v>
      </c>
    </row>
    <row r="78" spans="1:7" ht="18" x14ac:dyDescent="0.3">
      <c r="A78" s="11"/>
      <c r="B78" s="37">
        <v>32</v>
      </c>
      <c r="C78" s="55" t="s">
        <v>43</v>
      </c>
      <c r="D78" s="55" t="s">
        <v>45</v>
      </c>
      <c r="E78" s="56">
        <v>1</v>
      </c>
      <c r="F78" s="57">
        <v>126000</v>
      </c>
      <c r="G78" s="58">
        <f>F78*E78</f>
        <v>126000</v>
      </c>
    </row>
    <row r="79" spans="1:7" ht="18" x14ac:dyDescent="0.3">
      <c r="A79" s="11"/>
      <c r="B79" s="47"/>
      <c r="C79" s="47"/>
      <c r="D79" s="48"/>
      <c r="E79" s="49"/>
      <c r="F79" s="38" t="s">
        <v>11</v>
      </c>
      <c r="G79" s="59">
        <f>SUM(G77:G78)</f>
        <v>286400</v>
      </c>
    </row>
    <row r="80" spans="1:7" ht="18" x14ac:dyDescent="0.3">
      <c r="A80" s="11"/>
      <c r="B80" s="47"/>
      <c r="C80" s="47"/>
      <c r="D80" s="48"/>
      <c r="E80" s="49"/>
      <c r="F80" s="50"/>
      <c r="G80" s="60"/>
    </row>
    <row r="81" spans="1:8" ht="23.4" x14ac:dyDescent="0.45">
      <c r="A81" s="11"/>
      <c r="B81" s="14"/>
      <c r="C81" s="14"/>
      <c r="D81" s="32" t="s">
        <v>80</v>
      </c>
      <c r="E81" s="52"/>
      <c r="F81" s="52"/>
      <c r="G81" s="52"/>
    </row>
    <row r="82" spans="1:8" ht="15.6" x14ac:dyDescent="0.3">
      <c r="A82" s="11"/>
      <c r="B82" s="33" t="s">
        <v>34</v>
      </c>
      <c r="C82" s="33" t="s">
        <v>35</v>
      </c>
      <c r="D82" s="34" t="s">
        <v>8</v>
      </c>
      <c r="E82" s="35" t="s">
        <v>9</v>
      </c>
      <c r="F82" s="36" t="s">
        <v>33</v>
      </c>
      <c r="G82" s="36" t="s">
        <v>10</v>
      </c>
    </row>
    <row r="83" spans="1:8" ht="18" x14ac:dyDescent="0.3">
      <c r="A83" s="11"/>
      <c r="B83" s="37">
        <v>33</v>
      </c>
      <c r="C83" s="55" t="s">
        <v>84</v>
      </c>
      <c r="D83" s="55" t="s">
        <v>85</v>
      </c>
      <c r="E83" s="56">
        <v>85</v>
      </c>
      <c r="F83" s="57">
        <v>284386</v>
      </c>
      <c r="G83" s="58">
        <f>F83*E83</f>
        <v>24172810</v>
      </c>
    </row>
    <row r="84" spans="1:8" ht="18" x14ac:dyDescent="0.3">
      <c r="A84" s="11"/>
      <c r="B84" s="37">
        <v>34</v>
      </c>
      <c r="C84" s="55" t="s">
        <v>101</v>
      </c>
      <c r="D84" s="55" t="s">
        <v>102</v>
      </c>
      <c r="E84" s="56">
        <v>6</v>
      </c>
      <c r="F84" s="57">
        <v>39874</v>
      </c>
      <c r="G84" s="58">
        <f>F84*E84</f>
        <v>239244</v>
      </c>
    </row>
    <row r="85" spans="1:8" ht="18" x14ac:dyDescent="0.3">
      <c r="A85" s="11"/>
      <c r="B85" s="37">
        <v>35</v>
      </c>
      <c r="C85" s="55" t="s">
        <v>86</v>
      </c>
      <c r="D85" s="55" t="s">
        <v>87</v>
      </c>
      <c r="E85" s="56">
        <v>5</v>
      </c>
      <c r="F85" s="57">
        <v>154356</v>
      </c>
      <c r="G85" s="58">
        <f t="shared" ref="G85:G89" si="8">F85*E85</f>
        <v>771780</v>
      </c>
    </row>
    <row r="86" spans="1:8" ht="18" x14ac:dyDescent="0.3">
      <c r="A86" s="11"/>
      <c r="B86" s="37">
        <v>36</v>
      </c>
      <c r="C86" s="55" t="s">
        <v>88</v>
      </c>
      <c r="D86" s="55" t="s">
        <v>89</v>
      </c>
      <c r="E86" s="56">
        <v>25</v>
      </c>
      <c r="F86" s="57">
        <v>154356</v>
      </c>
      <c r="G86" s="58">
        <f t="shared" si="8"/>
        <v>3858900</v>
      </c>
    </row>
    <row r="87" spans="1:8" ht="18" x14ac:dyDescent="0.3">
      <c r="A87" s="11"/>
      <c r="B87" s="37">
        <v>37</v>
      </c>
      <c r="C87" s="55" t="s">
        <v>122</v>
      </c>
      <c r="D87" s="55" t="s">
        <v>123</v>
      </c>
      <c r="E87" s="56">
        <v>28</v>
      </c>
      <c r="F87" s="57">
        <v>128429</v>
      </c>
      <c r="G87" s="58">
        <f t="shared" si="8"/>
        <v>3596012</v>
      </c>
    </row>
    <row r="88" spans="1:8" ht="18" x14ac:dyDescent="0.3">
      <c r="A88" s="11"/>
      <c r="B88" s="37">
        <v>38</v>
      </c>
      <c r="C88" s="55" t="s">
        <v>90</v>
      </c>
      <c r="D88" s="55" t="s">
        <v>91</v>
      </c>
      <c r="E88" s="56">
        <v>8</v>
      </c>
      <c r="F88" s="57">
        <v>125833</v>
      </c>
      <c r="G88" s="58">
        <f t="shared" si="8"/>
        <v>1006664</v>
      </c>
    </row>
    <row r="89" spans="1:8" ht="18" x14ac:dyDescent="0.3">
      <c r="A89" s="11"/>
      <c r="B89" s="37">
        <v>39</v>
      </c>
      <c r="C89" s="55" t="s">
        <v>92</v>
      </c>
      <c r="D89" s="55" t="s">
        <v>93</v>
      </c>
      <c r="E89" s="56">
        <v>9</v>
      </c>
      <c r="F89" s="57">
        <v>41009</v>
      </c>
      <c r="G89" s="58">
        <f t="shared" si="8"/>
        <v>369081</v>
      </c>
    </row>
    <row r="90" spans="1:8" ht="18" x14ac:dyDescent="0.3">
      <c r="A90" s="11"/>
      <c r="B90" s="47"/>
      <c r="C90" s="47"/>
      <c r="D90" s="48"/>
      <c r="E90" s="49"/>
      <c r="F90" s="38" t="s">
        <v>11</v>
      </c>
      <c r="G90" s="59">
        <f>SUM(G83:G89)</f>
        <v>34014491</v>
      </c>
    </row>
    <row r="91" spans="1:8" ht="15.6" x14ac:dyDescent="0.3">
      <c r="A91" s="11"/>
      <c r="B91" s="47"/>
      <c r="C91" s="47"/>
      <c r="D91" s="48"/>
      <c r="E91" s="49"/>
      <c r="F91" s="50"/>
      <c r="G91" s="50"/>
    </row>
    <row r="92" spans="1:8" ht="15.6" x14ac:dyDescent="0.3">
      <c r="B92" s="79" t="s">
        <v>31</v>
      </c>
      <c r="C92" s="80"/>
      <c r="D92" s="81"/>
      <c r="F92" s="39" t="s">
        <v>36</v>
      </c>
      <c r="G92" s="51">
        <f>SUM(G18:G90)/2</f>
        <v>84956071</v>
      </c>
    </row>
    <row r="93" spans="1:8" ht="15.6" x14ac:dyDescent="0.3">
      <c r="B93" s="82" t="s">
        <v>32</v>
      </c>
      <c r="C93" s="83"/>
      <c r="D93" s="84"/>
      <c r="F93" s="39" t="s">
        <v>103</v>
      </c>
      <c r="G93" s="51">
        <f>G92*25%</f>
        <v>21239017.75</v>
      </c>
      <c r="H93" s="31"/>
    </row>
    <row r="94" spans="1:8" ht="15.6" x14ac:dyDescent="0.3">
      <c r="B94" s="44" t="s">
        <v>24</v>
      </c>
      <c r="C94" s="45"/>
      <c r="D94" s="46"/>
      <c r="F94" s="39" t="s">
        <v>37</v>
      </c>
      <c r="G94" s="51">
        <f>G92-G93</f>
        <v>63717053.25</v>
      </c>
    </row>
    <row r="95" spans="1:8" ht="15.6" x14ac:dyDescent="0.3">
      <c r="F95" s="39" t="s">
        <v>38</v>
      </c>
      <c r="G95" s="51">
        <v>2699908</v>
      </c>
    </row>
    <row r="96" spans="1:8" ht="15.75" customHeight="1" x14ac:dyDescent="0.3">
      <c r="B96" s="85" t="s">
        <v>25</v>
      </c>
      <c r="C96" s="86"/>
      <c r="D96" s="41" t="s">
        <v>26</v>
      </c>
      <c r="F96" s="39" t="s">
        <v>39</v>
      </c>
      <c r="G96" s="51">
        <v>2024931</v>
      </c>
    </row>
    <row r="97" spans="2:7" ht="15.6" x14ac:dyDescent="0.3">
      <c r="B97" s="87"/>
      <c r="C97" s="88"/>
      <c r="D97" s="42" t="s">
        <v>27</v>
      </c>
      <c r="F97" s="61" t="s">
        <v>12</v>
      </c>
      <c r="G97" s="62">
        <f>G94+G95+G96</f>
        <v>68441892.25</v>
      </c>
    </row>
    <row r="98" spans="2:7" ht="15.6" x14ac:dyDescent="0.3">
      <c r="B98" s="89"/>
      <c r="C98" s="90"/>
      <c r="D98" s="43" t="s">
        <v>28</v>
      </c>
      <c r="F98" s="39" t="s">
        <v>19</v>
      </c>
      <c r="G98" s="40">
        <f>G97*19%</f>
        <v>13003959.5275</v>
      </c>
    </row>
    <row r="99" spans="2:7" ht="15.6" x14ac:dyDescent="0.3">
      <c r="F99" s="39" t="s">
        <v>11</v>
      </c>
      <c r="G99" s="40">
        <f>G97+G98</f>
        <v>81445851.777500004</v>
      </c>
    </row>
    <row r="100" spans="2:7" x14ac:dyDescent="0.3">
      <c r="B100" s="73" t="s">
        <v>29</v>
      </c>
      <c r="C100" s="74"/>
      <c r="D100" s="41" t="s">
        <v>26</v>
      </c>
    </row>
    <row r="101" spans="2:7" x14ac:dyDescent="0.3">
      <c r="B101" s="75"/>
      <c r="C101" s="76"/>
      <c r="D101" s="43" t="s">
        <v>30</v>
      </c>
    </row>
    <row r="109" spans="2:7" x14ac:dyDescent="0.3">
      <c r="B109" t="s">
        <v>13</v>
      </c>
    </row>
    <row r="110" spans="2:7" x14ac:dyDescent="0.3">
      <c r="B110" t="s">
        <v>20</v>
      </c>
    </row>
    <row r="111" spans="2:7" x14ac:dyDescent="0.3">
      <c r="B111" t="s">
        <v>14</v>
      </c>
    </row>
    <row r="112" spans="2:7" x14ac:dyDescent="0.3">
      <c r="B112" t="s">
        <v>22</v>
      </c>
    </row>
    <row r="113" spans="2:2" x14ac:dyDescent="0.3">
      <c r="B113" t="s">
        <v>23</v>
      </c>
    </row>
    <row r="114" spans="2:2" x14ac:dyDescent="0.3">
      <c r="B114" t="s">
        <v>15</v>
      </c>
    </row>
    <row r="115" spans="2:2" x14ac:dyDescent="0.3">
      <c r="B115" t="s">
        <v>16</v>
      </c>
    </row>
    <row r="116" spans="2:2" x14ac:dyDescent="0.3">
      <c r="B116" t="s">
        <v>17</v>
      </c>
    </row>
    <row r="117" spans="2:2" x14ac:dyDescent="0.3">
      <c r="B117" t="s">
        <v>18</v>
      </c>
    </row>
  </sheetData>
  <mergeCells count="5">
    <mergeCell ref="B100:C101"/>
    <mergeCell ref="B3:E4"/>
    <mergeCell ref="B92:D92"/>
    <mergeCell ref="B93:D93"/>
    <mergeCell ref="B96:C98"/>
  </mergeCells>
  <conditionalFormatting sqref="F17 F23:F24 F26 F31:F32 F34 F39:F40 F42 F46 F48 F53:F54 F56 F63 F65 F69 F71 F73:F74 F76 F79:F80 F82 F90:F91">
    <cfRule type="cellIs" dxfId="2" priority="1075" stopIfTrue="1" operator="equal">
      <formula>"a"</formula>
    </cfRule>
    <cfRule type="cellIs" dxfId="1" priority="1076" stopIfTrue="1" operator="equal">
      <formula>"P"</formula>
    </cfRule>
    <cfRule type="cellIs" dxfId="0" priority="1077" stopIfTrue="1" operator="equal">
      <formula>"I"</formula>
    </cfRule>
  </conditionalFormatting>
  <hyperlinks>
    <hyperlink ref="F8" r:id="rId1" display="http://www.ohffice.cl/"/>
  </hyperlinks>
  <pageMargins left="0.70866141732283472" right="0.70866141732283472" top="0.74803149606299213" bottom="0.74803149606299213" header="0.31496062992125984" footer="0.31496062992125984"/>
  <pageSetup paperSize="9" scale="4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COT.6175</vt:lpstr>
      <vt:lpstr>COT.6175!Área_de_impresión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Esparza</dc:creator>
  <cp:keywords/>
  <dc:description/>
  <cp:lastModifiedBy>Nelson Altamirano Parada</cp:lastModifiedBy>
  <cp:revision/>
  <cp:lastPrinted>2023-05-22T18:31:02Z</cp:lastPrinted>
  <dcterms:created xsi:type="dcterms:W3CDTF">2021-07-29T16:15:32Z</dcterms:created>
  <dcterms:modified xsi:type="dcterms:W3CDTF">2023-06-30T19:49:35Z</dcterms:modified>
  <cp:category/>
  <cp:contentStatus/>
</cp:coreProperties>
</file>