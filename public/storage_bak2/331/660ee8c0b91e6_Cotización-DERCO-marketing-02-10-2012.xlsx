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270" windowWidth="9060" windowHeight="6795"/>
  </bookViews>
  <sheets>
    <sheet name="Hoja1" sheetId="1" r:id="rId1"/>
    <sheet name="Hoja2" sheetId="2" r:id="rId2"/>
    <sheet name="Hoja3" sheetId="3" r:id="rId3"/>
  </sheets>
  <definedNames>
    <definedName name="_xlnm.Print_Area" localSheetId="0">Hoja1!$A$2:$F$95</definedName>
  </definedNames>
  <calcPr calcId="125725"/>
</workbook>
</file>

<file path=xl/calcChain.xml><?xml version="1.0" encoding="utf-8"?>
<calcChain xmlns="http://schemas.openxmlformats.org/spreadsheetml/2006/main">
  <c r="E42" i="1"/>
  <c r="E41"/>
  <c r="E40"/>
  <c r="E39"/>
  <c r="E37"/>
  <c r="E36"/>
  <c r="E30"/>
  <c r="E32"/>
  <c r="E59"/>
  <c r="E38" l="1"/>
  <c r="E35"/>
  <c r="E33"/>
  <c r="E31"/>
  <c r="E34"/>
  <c r="E60" l="1"/>
  <c r="E64" s="1"/>
  <c r="E65" s="1"/>
  <c r="E66" s="1"/>
  <c r="E67" s="1"/>
  <c r="E68" s="1"/>
</calcChain>
</file>

<file path=xl/sharedStrings.xml><?xml version="1.0" encoding="utf-8"?>
<sst xmlns="http://schemas.openxmlformats.org/spreadsheetml/2006/main" count="46" uniqueCount="43">
  <si>
    <t>Descripción del Producto</t>
  </si>
  <si>
    <t>Cant.</t>
  </si>
  <si>
    <t>Valor Unit.</t>
  </si>
  <si>
    <t>Total</t>
  </si>
  <si>
    <t>Sub Total</t>
  </si>
  <si>
    <t>IVA 19%</t>
  </si>
  <si>
    <t xml:space="preserve">Total  </t>
  </si>
  <si>
    <t xml:space="preserve">Señores </t>
  </si>
  <si>
    <t>Presente</t>
  </si>
  <si>
    <t>Condiciones Comerciales:</t>
  </si>
  <si>
    <t>50% contra recepción conforme</t>
  </si>
  <si>
    <t>Plazo Fabricación:</t>
  </si>
  <si>
    <t>Garantía de los productos:</t>
  </si>
  <si>
    <t>Atentamente,</t>
  </si>
  <si>
    <t>50% anticipo al día adjuto a O.C.</t>
  </si>
  <si>
    <t>Mobiliario estándar, 15 días hábiles de fabricación</t>
  </si>
  <si>
    <t>Mobiliario especial, 20 días hábiles de fabricación</t>
  </si>
  <si>
    <t>Rectificación de espacios, 02 días hábiles</t>
  </si>
  <si>
    <t>Sillas, 02 años por defectos de fabricación.</t>
  </si>
  <si>
    <t>Mobiliario, 05 años por defectos de fabricación.</t>
  </si>
  <si>
    <t>Los plazos para proyectos fuera de la Región Metropolitana, serán evaluados con el Cliente</t>
  </si>
  <si>
    <t>ITEM</t>
  </si>
  <si>
    <t>Paola Yanquez C.</t>
  </si>
  <si>
    <t>Arquitecto de Interiores</t>
  </si>
  <si>
    <t>Ejecutiva de Proyecto</t>
  </si>
  <si>
    <t>Decuento</t>
  </si>
  <si>
    <t>Total Neto</t>
  </si>
  <si>
    <t>DERCO</t>
  </si>
  <si>
    <t>At.: Sr. Francisco Olivares</t>
  </si>
  <si>
    <t xml:space="preserve">       Santiago 2 de Octubre de 2012</t>
  </si>
  <si>
    <t>PROPUESTA MOBILIARIO PLANTA MARKETING 1</t>
  </si>
  <si>
    <t>GERENTE DE AREA</t>
  </si>
  <si>
    <t>Cubierta recta 1100x600, cubierta e= 24 mm laminada</t>
  </si>
  <si>
    <t>Escritorio "C" 1800x700, cubierta e= 24 mm laminada</t>
  </si>
  <si>
    <t>Cajonera de pedestal 2C 1 K.</t>
  </si>
  <si>
    <t>Biblioteca 800x350</t>
  </si>
  <si>
    <t>Gabinete bajo con puertas de abatir de 800x500</t>
  </si>
  <si>
    <t>ADMINISTRATIVOS</t>
  </si>
  <si>
    <t>Cubierta recta 1500x600, cubierta e= 24 mm laminada</t>
  </si>
  <si>
    <t>Mesa de reunion diametro 1200. cubierta e= 24 mm laminada</t>
  </si>
  <si>
    <t>Biombo vidrio pavonado 1050x280.</t>
  </si>
  <si>
    <t>Soporte para biombos</t>
  </si>
  <si>
    <t>Cubierta recta 1630x550, cubierta e= 24 mm laminada</t>
  </si>
</sst>
</file>

<file path=xl/styles.xml><?xml version="1.0" encoding="utf-8"?>
<styleSheet xmlns="http://schemas.openxmlformats.org/spreadsheetml/2006/main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</numFmts>
  <fonts count="10">
    <font>
      <sz val="10"/>
      <name val="Arial"/>
    </font>
    <font>
      <sz val="10"/>
      <name val="Arial"/>
    </font>
    <font>
      <b/>
      <u/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23"/>
      <name val="Arial"/>
      <family val="2"/>
    </font>
    <font>
      <sz val="10"/>
      <color indexed="23"/>
      <name val="Arial"/>
      <family val="2"/>
    </font>
    <font>
      <b/>
      <u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44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8" tint="0.59999389629810485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164" fontId="0" fillId="2" borderId="0" xfId="1" applyNumberFormat="1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164" fontId="4" fillId="4" borderId="1" xfId="1" applyNumberFormat="1" applyFont="1" applyFill="1" applyBorder="1"/>
    <xf numFmtId="165" fontId="4" fillId="4" borderId="1" xfId="2" applyNumberFormat="1" applyFont="1" applyFill="1" applyBorder="1"/>
    <xf numFmtId="164" fontId="4" fillId="2" borderId="1" xfId="0" applyNumberFormat="1" applyFont="1" applyFill="1" applyBorder="1"/>
    <xf numFmtId="0" fontId="0" fillId="2" borderId="0" xfId="0" applyFill="1" applyBorder="1"/>
    <xf numFmtId="9" fontId="4" fillId="2" borderId="0" xfId="3" applyFont="1" applyFill="1" applyAlignment="1">
      <alignment horizontal="right"/>
    </xf>
    <xf numFmtId="9" fontId="4" fillId="2" borderId="1" xfId="3" applyFont="1" applyFill="1" applyBorder="1" applyAlignment="1">
      <alignment horizontal="right"/>
    </xf>
    <xf numFmtId="0" fontId="3" fillId="2" borderId="0" xfId="0" applyFont="1" applyFill="1"/>
    <xf numFmtId="0" fontId="2" fillId="2" borderId="0" xfId="0" applyFont="1" applyFill="1"/>
    <xf numFmtId="164" fontId="0" fillId="2" borderId="0" xfId="1" applyNumberFormat="1" applyFont="1" applyFill="1" applyBorder="1"/>
    <xf numFmtId="0" fontId="7" fillId="5" borderId="0" xfId="0" applyFont="1" applyFill="1" applyBorder="1"/>
    <xf numFmtId="0" fontId="8" fillId="6" borderId="0" xfId="0" applyFont="1" applyFill="1" applyBorder="1"/>
    <xf numFmtId="0" fontId="7" fillId="6" borderId="0" xfId="0" applyFont="1" applyFill="1" applyBorder="1"/>
    <xf numFmtId="0" fontId="8" fillId="5" borderId="0" xfId="0" applyFont="1" applyFill="1" applyBorder="1"/>
    <xf numFmtId="0" fontId="0" fillId="7" borderId="0" xfId="0" applyFill="1"/>
    <xf numFmtId="0" fontId="5" fillId="2" borderId="0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64" fontId="4" fillId="2" borderId="1" xfId="3" applyNumberFormat="1" applyFont="1" applyFill="1" applyBorder="1" applyAlignment="1">
      <alignment horizontal="right"/>
    </xf>
    <xf numFmtId="0" fontId="8" fillId="2" borderId="0" xfId="0" applyFont="1" applyFill="1" applyBorder="1" applyAlignment="1">
      <alignment wrapText="1"/>
    </xf>
    <xf numFmtId="0" fontId="5" fillId="8" borderId="1" xfId="0" applyFont="1" applyFill="1" applyBorder="1" applyAlignment="1">
      <alignment horizontal="center" vertical="center"/>
    </xf>
    <xf numFmtId="164" fontId="5" fillId="8" borderId="1" xfId="1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/>
    </xf>
    <xf numFmtId="0" fontId="5" fillId="8" borderId="1" xfId="0" applyFont="1" applyFill="1" applyBorder="1"/>
    <xf numFmtId="0" fontId="5" fillId="8" borderId="1" xfId="0" applyFont="1" applyFill="1" applyBorder="1" applyAlignment="1">
      <alignment horizontal="center"/>
    </xf>
    <xf numFmtId="164" fontId="5" fillId="8" borderId="1" xfId="1" applyNumberFormat="1" applyFont="1" applyFill="1" applyBorder="1"/>
    <xf numFmtId="164" fontId="5" fillId="8" borderId="1" xfId="1" applyNumberFormat="1" applyFont="1" applyFill="1" applyBorder="1" applyAlignment="1">
      <alignment vertical="center"/>
    </xf>
    <xf numFmtId="164" fontId="4" fillId="8" borderId="0" xfId="1" applyNumberFormat="1" applyFont="1" applyFill="1" applyBorder="1" applyAlignment="1">
      <alignment vertical="center"/>
    </xf>
    <xf numFmtId="0" fontId="5" fillId="8" borderId="2" xfId="0" applyFont="1" applyFill="1" applyBorder="1" applyAlignment="1">
      <alignment horizontal="center"/>
    </xf>
    <xf numFmtId="164" fontId="5" fillId="8" borderId="2" xfId="1" applyNumberFormat="1" applyFont="1" applyFill="1" applyBorder="1"/>
    <xf numFmtId="164" fontId="5" fillId="8" borderId="2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4" fillId="9" borderId="1" xfId="1" applyNumberFormat="1" applyFont="1" applyFill="1" applyBorder="1" applyAlignment="1">
      <alignment vertical="center"/>
    </xf>
    <xf numFmtId="9" fontId="4" fillId="9" borderId="1" xfId="3" applyFont="1" applyFill="1" applyBorder="1" applyAlignment="1">
      <alignment horizontal="right"/>
    </xf>
    <xf numFmtId="164" fontId="4" fillId="9" borderId="1" xfId="3" applyNumberFormat="1" applyFont="1" applyFill="1" applyBorder="1" applyAlignment="1">
      <alignment horizontal="right"/>
    </xf>
    <xf numFmtId="0" fontId="5" fillId="8" borderId="2" xfId="0" applyFont="1" applyFill="1" applyBorder="1" applyAlignment="1">
      <alignment horizontal="center" vertical="center"/>
    </xf>
    <xf numFmtId="0" fontId="5" fillId="8" borderId="2" xfId="0" applyFont="1" applyFill="1" applyBorder="1"/>
    <xf numFmtId="0" fontId="4" fillId="2" borderId="0" xfId="0" applyFont="1" applyFill="1" applyBorder="1" applyAlignment="1">
      <alignment horizontal="left"/>
    </xf>
    <xf numFmtId="0" fontId="5" fillId="8" borderId="1" xfId="0" applyFont="1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/>
    </xf>
    <xf numFmtId="0" fontId="9" fillId="8" borderId="1" xfId="0" applyFont="1" applyFill="1" applyBorder="1" applyAlignment="1">
      <alignment vertical="center" wrapText="1"/>
    </xf>
  </cellXfs>
  <cellStyles count="4">
    <cellStyle name="Millares" xfId="1" builtinId="3"/>
    <cellStyle name="Moneda" xfId="2" builtinId="4"/>
    <cellStyle name="Normal" xfId="0" builtinId="0"/>
    <cellStyle name="Porcentual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</xdr:row>
      <xdr:rowOff>104775</xdr:rowOff>
    </xdr:from>
    <xdr:to>
      <xdr:col>5</xdr:col>
      <xdr:colOff>0</xdr:colOff>
      <xdr:row>6</xdr:row>
      <xdr:rowOff>28575</xdr:rowOff>
    </xdr:to>
    <xdr:pic>
      <xdr:nvPicPr>
        <xdr:cNvPr id="1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81725" y="266700"/>
          <a:ext cx="167640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50800</xdr:colOff>
      <xdr:row>91</xdr:row>
      <xdr:rowOff>78317</xdr:rowOff>
    </xdr:from>
    <xdr:to>
      <xdr:col>1</xdr:col>
      <xdr:colOff>841375</xdr:colOff>
      <xdr:row>94</xdr:row>
      <xdr:rowOff>5292</xdr:rowOff>
    </xdr:to>
    <xdr:pic>
      <xdr:nvPicPr>
        <xdr:cNvPr id="1122" name="Picture 6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0550" y="12884150"/>
          <a:ext cx="790575" cy="403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E92"/>
  <sheetViews>
    <sheetView tabSelected="1" topLeftCell="A25" zoomScale="90" zoomScaleNormal="90" workbookViewId="0">
      <selection activeCell="A43" sqref="A43"/>
    </sheetView>
  </sheetViews>
  <sheetFormatPr baseColWidth="10" defaultRowHeight="12.75"/>
  <cols>
    <col min="1" max="1" width="8.140625" style="2" customWidth="1"/>
    <col min="2" max="2" width="79.7109375" style="2" customWidth="1"/>
    <col min="3" max="3" width="8.85546875" style="2" customWidth="1"/>
    <col min="4" max="4" width="15.42578125" style="3" customWidth="1"/>
    <col min="5" max="5" width="13.7109375" style="1" customWidth="1"/>
    <col min="6" max="6" width="11.42578125" style="2"/>
    <col min="7" max="7" width="12.28515625" style="2" bestFit="1" customWidth="1"/>
    <col min="8" max="16384" width="11.42578125" style="2"/>
  </cols>
  <sheetData>
    <row r="4" spans="2:5" ht="15.75">
      <c r="B4" s="13" t="s">
        <v>7</v>
      </c>
    </row>
    <row r="5" spans="2:5" ht="15.75">
      <c r="B5" s="13" t="s">
        <v>27</v>
      </c>
    </row>
    <row r="6" spans="2:5" ht="15.75">
      <c r="B6" s="14" t="s">
        <v>28</v>
      </c>
    </row>
    <row r="7" spans="2:5" ht="15.75">
      <c r="B7" s="13" t="s">
        <v>8</v>
      </c>
    </row>
    <row r="8" spans="2:5" ht="15.75">
      <c r="B8" s="13"/>
    </row>
    <row r="9" spans="2:5" ht="15.75">
      <c r="B9" s="13"/>
    </row>
    <row r="10" spans="2:5" ht="15.75">
      <c r="B10" s="13"/>
    </row>
    <row r="11" spans="2:5" ht="15.75">
      <c r="B11" s="13"/>
    </row>
    <row r="12" spans="2:5" ht="15.75">
      <c r="B12" s="13"/>
    </row>
    <row r="13" spans="2:5" ht="15.75">
      <c r="B13" s="13"/>
    </row>
    <row r="15" spans="2:5" s="10" customFormat="1">
      <c r="B15" s="45"/>
      <c r="C15" s="45"/>
      <c r="D15" s="21" t="s">
        <v>29</v>
      </c>
      <c r="E15" s="15"/>
    </row>
    <row r="16" spans="2:5" s="10" customFormat="1">
      <c r="B16" s="42"/>
      <c r="C16" s="42"/>
      <c r="D16" s="21"/>
      <c r="E16" s="15"/>
    </row>
    <row r="17" spans="1:5" s="10" customFormat="1">
      <c r="B17" s="42"/>
      <c r="C17" s="42"/>
      <c r="D17" s="21"/>
      <c r="E17" s="15"/>
    </row>
    <row r="18" spans="1:5" s="10" customFormat="1">
      <c r="B18" s="42"/>
      <c r="C18" s="42"/>
      <c r="D18" s="21"/>
      <c r="E18" s="15"/>
    </row>
    <row r="19" spans="1:5" s="10" customFormat="1">
      <c r="B19" s="42"/>
      <c r="C19" s="42"/>
      <c r="D19" s="21"/>
      <c r="E19" s="15"/>
    </row>
    <row r="20" spans="1:5" s="10" customFormat="1">
      <c r="B20" s="42"/>
      <c r="C20" s="42"/>
      <c r="D20" s="21"/>
      <c r="E20" s="15"/>
    </row>
    <row r="21" spans="1:5" s="10" customFormat="1">
      <c r="B21" s="42"/>
      <c r="C21" s="42"/>
      <c r="D21" s="21"/>
      <c r="E21" s="15"/>
    </row>
    <row r="22" spans="1:5" s="10" customFormat="1">
      <c r="B22" s="42"/>
      <c r="C22" s="42"/>
      <c r="D22" s="21"/>
      <c r="E22" s="15"/>
    </row>
    <row r="23" spans="1:5" s="10" customFormat="1">
      <c r="B23" s="42"/>
      <c r="C23" s="42"/>
      <c r="D23" s="21"/>
      <c r="E23" s="15"/>
    </row>
    <row r="24" spans="1:5" s="10" customFormat="1">
      <c r="B24" s="42"/>
      <c r="C24" s="42"/>
      <c r="D24" s="21"/>
      <c r="E24" s="15"/>
    </row>
    <row r="25" spans="1:5" s="10" customFormat="1">
      <c r="B25" s="42"/>
      <c r="C25" s="42"/>
      <c r="D25" s="21"/>
      <c r="E25" s="15"/>
    </row>
    <row r="26" spans="1:5" s="10" customFormat="1">
      <c r="B26" s="42"/>
      <c r="C26" s="42"/>
      <c r="D26" s="21"/>
      <c r="E26" s="15"/>
    </row>
    <row r="27" spans="1:5" s="10" customFormat="1">
      <c r="B27" s="27"/>
      <c r="C27" s="27"/>
      <c r="D27" s="21"/>
      <c r="E27" s="15"/>
    </row>
    <row r="28" spans="1:5" ht="15.75">
      <c r="A28" s="22" t="s">
        <v>21</v>
      </c>
      <c r="B28" s="36" t="s">
        <v>30</v>
      </c>
      <c r="C28" s="4"/>
      <c r="D28" s="1"/>
      <c r="E28" s="2"/>
    </row>
    <row r="29" spans="1:5">
      <c r="A29" s="5"/>
      <c r="B29" s="5" t="s">
        <v>0</v>
      </c>
      <c r="C29" s="6" t="s">
        <v>1</v>
      </c>
      <c r="D29" s="7" t="s">
        <v>2</v>
      </c>
      <c r="E29" s="8" t="s">
        <v>3</v>
      </c>
    </row>
    <row r="30" spans="1:5">
      <c r="A30" s="40"/>
      <c r="B30" s="46" t="s">
        <v>31</v>
      </c>
      <c r="C30" s="33"/>
      <c r="D30" s="34"/>
      <c r="E30" s="35">
        <f t="shared" ref="E30:E34" si="0">D30*C30</f>
        <v>0</v>
      </c>
    </row>
    <row r="31" spans="1:5">
      <c r="A31" s="25">
        <v>1</v>
      </c>
      <c r="B31" s="43" t="s">
        <v>32</v>
      </c>
      <c r="C31" s="25">
        <v>1</v>
      </c>
      <c r="D31" s="31"/>
      <c r="E31" s="26">
        <f t="shared" si="0"/>
        <v>0</v>
      </c>
    </row>
    <row r="32" spans="1:5">
      <c r="A32" s="40">
        <v>2</v>
      </c>
      <c r="B32" s="43" t="s">
        <v>33</v>
      </c>
      <c r="C32" s="25">
        <v>1</v>
      </c>
      <c r="D32" s="31"/>
      <c r="E32" s="35">
        <f t="shared" si="0"/>
        <v>0</v>
      </c>
    </row>
    <row r="33" spans="1:5">
      <c r="A33" s="25">
        <v>3</v>
      </c>
      <c r="B33" s="28" t="s">
        <v>34</v>
      </c>
      <c r="C33" s="29">
        <v>1</v>
      </c>
      <c r="D33" s="30"/>
      <c r="E33" s="26">
        <f t="shared" si="0"/>
        <v>0</v>
      </c>
    </row>
    <row r="34" spans="1:5">
      <c r="A34" s="25">
        <v>4</v>
      </c>
      <c r="B34" s="28" t="s">
        <v>35</v>
      </c>
      <c r="C34" s="29">
        <v>1</v>
      </c>
      <c r="D34" s="30"/>
      <c r="E34" s="26">
        <f t="shared" si="0"/>
        <v>0</v>
      </c>
    </row>
    <row r="35" spans="1:5" ht="13.5" customHeight="1">
      <c r="A35" s="25">
        <v>5</v>
      </c>
      <c r="B35" s="28" t="s">
        <v>36</v>
      </c>
      <c r="C35" s="25">
        <v>1</v>
      </c>
      <c r="D35" s="26"/>
      <c r="E35" s="26">
        <f t="shared" ref="E35" si="1">D35*C35</f>
        <v>0</v>
      </c>
    </row>
    <row r="36" spans="1:5" ht="13.5" customHeight="1">
      <c r="A36" s="40"/>
      <c r="B36" s="46" t="s">
        <v>37</v>
      </c>
      <c r="C36" s="40"/>
      <c r="D36" s="35"/>
      <c r="E36" s="35">
        <f>D36*C36</f>
        <v>0</v>
      </c>
    </row>
    <row r="37" spans="1:5" ht="13.5" customHeight="1">
      <c r="A37" s="40">
        <v>6</v>
      </c>
      <c r="B37" s="28" t="s">
        <v>38</v>
      </c>
      <c r="C37" s="40">
        <v>6</v>
      </c>
      <c r="D37" s="35"/>
      <c r="E37" s="35">
        <f>D37*C37</f>
        <v>0</v>
      </c>
    </row>
    <row r="38" spans="1:5" ht="14.25" customHeight="1">
      <c r="A38" s="40">
        <v>7</v>
      </c>
      <c r="B38" s="28" t="s">
        <v>34</v>
      </c>
      <c r="C38" s="44">
        <v>6</v>
      </c>
      <c r="D38" s="26"/>
      <c r="E38" s="26">
        <f t="shared" ref="E38:E59" si="2">D38*C38</f>
        <v>0</v>
      </c>
    </row>
    <row r="39" spans="1:5" ht="14.25" customHeight="1">
      <c r="A39" s="40">
        <v>8</v>
      </c>
      <c r="B39" s="41" t="s">
        <v>39</v>
      </c>
      <c r="C39" s="44">
        <v>1</v>
      </c>
      <c r="D39" s="35"/>
      <c r="E39" s="35">
        <f t="shared" si="2"/>
        <v>0</v>
      </c>
    </row>
    <row r="40" spans="1:5" ht="14.25" customHeight="1">
      <c r="A40" s="40">
        <v>9</v>
      </c>
      <c r="B40" s="41" t="s">
        <v>40</v>
      </c>
      <c r="C40" s="44">
        <v>2</v>
      </c>
      <c r="D40" s="35"/>
      <c r="E40" s="35">
        <f t="shared" si="2"/>
        <v>0</v>
      </c>
    </row>
    <row r="41" spans="1:5" ht="14.25" customHeight="1">
      <c r="A41" s="40">
        <v>10</v>
      </c>
      <c r="B41" s="41" t="s">
        <v>41</v>
      </c>
      <c r="C41" s="44">
        <v>4</v>
      </c>
      <c r="D41" s="35"/>
      <c r="E41" s="35">
        <f t="shared" si="2"/>
        <v>0</v>
      </c>
    </row>
    <row r="42" spans="1:5" ht="14.25" customHeight="1">
      <c r="A42" s="40">
        <v>11</v>
      </c>
      <c r="B42" s="41" t="s">
        <v>42</v>
      </c>
      <c r="C42" s="44">
        <v>4</v>
      </c>
      <c r="D42" s="35"/>
      <c r="E42" s="35">
        <f t="shared" si="2"/>
        <v>0</v>
      </c>
    </row>
    <row r="43" spans="1:5" ht="14.25" customHeight="1">
      <c r="A43" s="40">
        <v>12</v>
      </c>
      <c r="B43" s="41" t="s">
        <v>42</v>
      </c>
      <c r="C43" s="44"/>
      <c r="D43" s="35"/>
      <c r="E43" s="35"/>
    </row>
    <row r="44" spans="1:5" ht="14.25" customHeight="1">
      <c r="A44" s="40"/>
      <c r="B44" s="41"/>
      <c r="C44" s="44"/>
      <c r="D44" s="35"/>
      <c r="E44" s="35"/>
    </row>
    <row r="45" spans="1:5" ht="14.25" customHeight="1">
      <c r="A45" s="40"/>
      <c r="B45" s="41"/>
      <c r="C45" s="44"/>
      <c r="D45" s="35"/>
      <c r="E45" s="35"/>
    </row>
    <row r="46" spans="1:5" ht="14.25" customHeight="1">
      <c r="A46" s="40"/>
      <c r="B46" s="41"/>
      <c r="C46" s="44"/>
      <c r="D46" s="35"/>
      <c r="E46" s="35"/>
    </row>
    <row r="47" spans="1:5" ht="14.25" customHeight="1">
      <c r="A47" s="40"/>
      <c r="B47" s="41"/>
      <c r="C47" s="44"/>
      <c r="D47" s="35"/>
      <c r="E47" s="35"/>
    </row>
    <row r="48" spans="1:5" ht="14.25" customHeight="1">
      <c r="A48" s="40"/>
      <c r="B48" s="41"/>
      <c r="C48" s="44"/>
      <c r="D48" s="35"/>
      <c r="E48" s="35"/>
    </row>
    <row r="49" spans="1:5" ht="14.25" customHeight="1">
      <c r="A49" s="40"/>
      <c r="B49" s="41"/>
      <c r="C49" s="44"/>
      <c r="D49" s="35"/>
      <c r="E49" s="35"/>
    </row>
    <row r="50" spans="1:5" ht="14.25" customHeight="1">
      <c r="A50" s="40"/>
      <c r="B50" s="41"/>
      <c r="C50" s="44"/>
      <c r="D50" s="35"/>
      <c r="E50" s="35"/>
    </row>
    <row r="51" spans="1:5" ht="14.25" customHeight="1">
      <c r="A51" s="40"/>
      <c r="B51" s="41"/>
      <c r="C51" s="44"/>
      <c r="D51" s="35"/>
      <c r="E51" s="35"/>
    </row>
    <row r="52" spans="1:5" ht="14.25" customHeight="1">
      <c r="A52" s="40"/>
      <c r="B52" s="41"/>
      <c r="C52" s="44"/>
      <c r="D52" s="35"/>
      <c r="E52" s="35"/>
    </row>
    <row r="53" spans="1:5" ht="14.25" customHeight="1">
      <c r="A53" s="40"/>
      <c r="B53" s="41"/>
      <c r="C53" s="44"/>
      <c r="D53" s="35"/>
      <c r="E53" s="35"/>
    </row>
    <row r="54" spans="1:5" ht="14.25" customHeight="1">
      <c r="A54" s="40"/>
      <c r="B54" s="41"/>
      <c r="C54" s="44"/>
      <c r="D54" s="35"/>
      <c r="E54" s="35"/>
    </row>
    <row r="55" spans="1:5" ht="14.25" customHeight="1">
      <c r="A55" s="40"/>
      <c r="B55" s="41"/>
      <c r="C55" s="44"/>
      <c r="D55" s="35"/>
      <c r="E55" s="35"/>
    </row>
    <row r="56" spans="1:5" ht="14.25" customHeight="1">
      <c r="A56" s="40"/>
      <c r="B56" s="41"/>
      <c r="C56" s="44"/>
      <c r="D56" s="35"/>
      <c r="E56" s="35"/>
    </row>
    <row r="57" spans="1:5" ht="14.25" customHeight="1">
      <c r="A57" s="40"/>
      <c r="B57" s="41"/>
      <c r="C57" s="44"/>
      <c r="D57" s="35"/>
      <c r="E57" s="35"/>
    </row>
    <row r="58" spans="1:5" ht="14.25" customHeight="1">
      <c r="A58" s="40"/>
      <c r="B58" s="41"/>
      <c r="C58" s="44"/>
      <c r="D58" s="35"/>
      <c r="E58" s="35"/>
    </row>
    <row r="59" spans="1:5">
      <c r="A59" s="40"/>
      <c r="B59" s="41"/>
      <c r="C59" s="33"/>
      <c r="D59" s="34"/>
      <c r="E59" s="35">
        <f t="shared" si="2"/>
        <v>0</v>
      </c>
    </row>
    <row r="60" spans="1:5">
      <c r="D60" s="11" t="s">
        <v>4</v>
      </c>
      <c r="E60" s="37">
        <f>SUM(E30:E59)</f>
        <v>0</v>
      </c>
    </row>
    <row r="61" spans="1:5">
      <c r="D61" s="11"/>
      <c r="E61" s="32"/>
    </row>
    <row r="62" spans="1:5">
      <c r="D62" s="11"/>
      <c r="E62" s="32"/>
    </row>
    <row r="63" spans="1:5">
      <c r="D63" s="11"/>
      <c r="E63" s="32"/>
    </row>
    <row r="64" spans="1:5">
      <c r="D64" s="12" t="s">
        <v>4</v>
      </c>
      <c r="E64" s="23">
        <f>E60</f>
        <v>0</v>
      </c>
    </row>
    <row r="65" spans="2:5">
      <c r="D65" s="12" t="s">
        <v>25</v>
      </c>
      <c r="E65" s="23">
        <f>E64*15%</f>
        <v>0</v>
      </c>
    </row>
    <row r="66" spans="2:5">
      <c r="D66" s="38" t="s">
        <v>26</v>
      </c>
      <c r="E66" s="39">
        <f>E64-E65</f>
        <v>0</v>
      </c>
    </row>
    <row r="67" spans="2:5">
      <c r="D67" s="12" t="s">
        <v>5</v>
      </c>
      <c r="E67" s="9">
        <f>E66*19%</f>
        <v>0</v>
      </c>
    </row>
    <row r="68" spans="2:5">
      <c r="D68" s="12" t="s">
        <v>6</v>
      </c>
      <c r="E68" s="9">
        <f>E66+E67</f>
        <v>0</v>
      </c>
    </row>
    <row r="69" spans="2:5">
      <c r="D69" s="2"/>
      <c r="E69" s="2"/>
    </row>
    <row r="70" spans="2:5">
      <c r="D70" s="2"/>
      <c r="E70" s="2"/>
    </row>
    <row r="71" spans="2:5">
      <c r="D71" s="2"/>
      <c r="E71" s="2"/>
    </row>
    <row r="72" spans="2:5">
      <c r="B72" s="16" t="s">
        <v>9</v>
      </c>
      <c r="D72" s="11"/>
      <c r="E72" s="32"/>
    </row>
    <row r="73" spans="2:5">
      <c r="B73" s="17" t="s">
        <v>14</v>
      </c>
    </row>
    <row r="74" spans="2:5">
      <c r="B74" s="17" t="s">
        <v>10</v>
      </c>
      <c r="D74" s="2"/>
      <c r="E74" s="2"/>
    </row>
    <row r="75" spans="2:5">
      <c r="D75" s="2"/>
      <c r="E75" s="2"/>
    </row>
    <row r="76" spans="2:5">
      <c r="B76" s="16" t="s">
        <v>12</v>
      </c>
      <c r="D76" s="2"/>
      <c r="E76" s="2"/>
    </row>
    <row r="77" spans="2:5">
      <c r="B77" s="17" t="s">
        <v>19</v>
      </c>
      <c r="D77" s="2"/>
      <c r="E77" s="2"/>
    </row>
    <row r="78" spans="2:5">
      <c r="B78" s="17" t="s">
        <v>18</v>
      </c>
      <c r="D78" s="2"/>
      <c r="E78" s="2"/>
    </row>
    <row r="79" spans="2:5">
      <c r="D79" s="2"/>
      <c r="E79" s="2"/>
    </row>
    <row r="80" spans="2:5">
      <c r="B80" s="18" t="s">
        <v>11</v>
      </c>
      <c r="D80" s="2"/>
      <c r="E80" s="2"/>
    </row>
    <row r="81" spans="2:5">
      <c r="B81" s="17" t="s">
        <v>17</v>
      </c>
      <c r="D81" s="2"/>
      <c r="E81" s="2"/>
    </row>
    <row r="82" spans="2:5">
      <c r="B82" s="17" t="s">
        <v>15</v>
      </c>
      <c r="D82" s="2"/>
      <c r="E82" s="2"/>
    </row>
    <row r="83" spans="2:5">
      <c r="B83" s="17" t="s">
        <v>16</v>
      </c>
    </row>
    <row r="84" spans="2:5">
      <c r="B84" s="17" t="s">
        <v>20</v>
      </c>
    </row>
    <row r="86" spans="2:5">
      <c r="B86" s="19" t="s">
        <v>13</v>
      </c>
    </row>
    <row r="89" spans="2:5">
      <c r="B89" s="24" t="s">
        <v>22</v>
      </c>
    </row>
    <row r="90" spans="2:5">
      <c r="B90" s="24" t="s">
        <v>23</v>
      </c>
    </row>
    <row r="91" spans="2:5">
      <c r="B91" s="24" t="s">
        <v>24</v>
      </c>
    </row>
    <row r="92" spans="2:5">
      <c r="B92" s="20"/>
    </row>
  </sheetData>
  <mergeCells count="1">
    <mergeCell ref="B15:C15"/>
  </mergeCells>
  <phoneticPr fontId="6" type="noConversion"/>
  <pageMargins left="0.35433070866141736" right="0" top="0" bottom="0.19685039370078741" header="0" footer="0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honeticPr fontId="6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honeticPr fontId="6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ALFA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Montalba</dc:creator>
  <cp:lastModifiedBy>Loreto Herrera</cp:lastModifiedBy>
  <cp:lastPrinted>2012-09-04T16:16:38Z</cp:lastPrinted>
  <dcterms:created xsi:type="dcterms:W3CDTF">2008-06-02T21:21:13Z</dcterms:created>
  <dcterms:modified xsi:type="dcterms:W3CDTF">2012-10-02T21:40:54Z</dcterms:modified>
</cp:coreProperties>
</file>