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felipeiglesias/Desktop/"/>
    </mc:Choice>
  </mc:AlternateContent>
  <bookViews>
    <workbookView xWindow="3920" yWindow="4760" windowWidth="27760" windowHeight="16380" tabRatio="500"/>
  </bookViews>
  <sheets>
    <sheet name="MODELO SEGÚN PLANOS P PPTO" sheetId="1" r:id="rId1"/>
  </sheets>
  <definedNames>
    <definedName name="_xlnm.Print_Titles" localSheetId="0">'MODELO SEGÚN PLANOS P PPTO'!$1:$18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2" i="1" l="1"/>
  <c r="H63" i="1"/>
  <c r="H61" i="1"/>
  <c r="H60" i="1"/>
  <c r="H74" i="1"/>
  <c r="H73" i="1"/>
  <c r="H25" i="1"/>
  <c r="H26" i="1"/>
  <c r="H27" i="1"/>
  <c r="H28" i="1"/>
  <c r="H29" i="1"/>
  <c r="H30" i="1"/>
  <c r="H31" i="1"/>
  <c r="H32" i="1"/>
  <c r="H33" i="1"/>
  <c r="H20" i="1"/>
  <c r="H19" i="1"/>
  <c r="H76" i="1"/>
  <c r="H77" i="1"/>
  <c r="H78" i="1"/>
  <c r="H79" i="1"/>
  <c r="H80" i="1"/>
  <c r="H71" i="1"/>
  <c r="H70" i="1"/>
  <c r="H69" i="1"/>
  <c r="H68" i="1"/>
  <c r="H67" i="1"/>
  <c r="H66" i="1"/>
  <c r="H65" i="1"/>
  <c r="H64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24" i="1"/>
  <c r="H23" i="1"/>
  <c r="H22" i="1"/>
  <c r="H21" i="1"/>
</calcChain>
</file>

<file path=xl/sharedStrings.xml><?xml version="1.0" encoding="utf-8"?>
<sst xmlns="http://schemas.openxmlformats.org/spreadsheetml/2006/main" count="181" uniqueCount="72">
  <si>
    <t>PRESUPUESTO OFICIAL</t>
  </si>
  <si>
    <t>Proyecto</t>
  </si>
  <si>
    <t>: Sigro</t>
  </si>
  <si>
    <t>Fecha</t>
  </si>
  <si>
    <t>: 20 de Enero, 2019</t>
  </si>
  <si>
    <t>Número</t>
  </si>
  <si>
    <t>: CH2019-01</t>
  </si>
  <si>
    <t>Valor UF  $</t>
  </si>
  <si>
    <t>: 28.309,94</t>
  </si>
  <si>
    <t>AREA</t>
  </si>
  <si>
    <t>NUMERACION</t>
  </si>
  <si>
    <t>PARTIDAS</t>
  </si>
  <si>
    <t>UNIDAD</t>
  </si>
  <si>
    <t>CANTIDAD</t>
  </si>
  <si>
    <t>PRECIO UN.</t>
  </si>
  <si>
    <t>TOTAL PPTO</t>
  </si>
  <si>
    <t>PLANTA SIGRO</t>
  </si>
  <si>
    <t>PLANTA PISO -1</t>
  </si>
  <si>
    <t>I. MOBILIARIO PISO -1</t>
  </si>
  <si>
    <t>MESON SEGURIDAD + JUNIOR</t>
  </si>
  <si>
    <t>un</t>
  </si>
  <si>
    <t>MESON AREA "TI"</t>
  </si>
  <si>
    <t>BENCH GERENTA RRHH</t>
  </si>
  <si>
    <t>ARCHIVO GERENTA RRHH</t>
  </si>
  <si>
    <t>BENCH 4P RRHH</t>
  </si>
  <si>
    <t>ARCHIVO RRHH</t>
  </si>
  <si>
    <t>ARCHIVO 4 DIVISIONES</t>
  </si>
  <si>
    <t>BENCH 1P SECRETARIA</t>
  </si>
  <si>
    <t>ARCHIVO 4 DIVISIONES CON MACETERO</t>
  </si>
  <si>
    <t>BENCH 6P CONTABILIDAD</t>
  </si>
  <si>
    <t>ARCHIVO 2 DIVISIONES CON MACETEROS</t>
  </si>
  <si>
    <t>ARCHIVO 2 DIVISIONES</t>
  </si>
  <si>
    <t>BENCH 4P CONTABILIDAD</t>
  </si>
  <si>
    <t>BENCH 2P POST VENTA</t>
  </si>
  <si>
    <t>BENCH 1P FLOTANTE INMOBILIARIA</t>
  </si>
  <si>
    <t>ARCHIVO 1 DIVISION CON MACETERO</t>
  </si>
  <si>
    <t>MESON GERENTES Y DO CON 2 ALAS</t>
  </si>
  <si>
    <t>BENCH 1P CAJA</t>
  </si>
  <si>
    <t>BENCH 1P FERNANDO</t>
  </si>
  <si>
    <t>ARCHIVO DOBLE</t>
  </si>
  <si>
    <t>BENCH 4P CON 1 ALA</t>
  </si>
  <si>
    <t xml:space="preserve">ARCHIVO 4 DIVISIONES </t>
  </si>
  <si>
    <t>MESA ALTA OPERACIONES 8P</t>
  </si>
  <si>
    <t>BENCH 6P ESTUDIOS</t>
  </si>
  <si>
    <t>BENCH 6P OPERACIONES</t>
  </si>
  <si>
    <t>MESON 4P COTIZACIONES</t>
  </si>
  <si>
    <t>MESON DE COMPAGINADO MUEBLE CON PUERTAS Y REPISAS INTERIORES 90CM ALTO</t>
  </si>
  <si>
    <t>ARCHIVO 2 DIVIONES</t>
  </si>
  <si>
    <t>BENCH 1P FLOTANTE (AL LADO CLOSET ABRIGOS)</t>
  </si>
  <si>
    <t>ARCHIVO 1 DIVISION</t>
  </si>
  <si>
    <t>SILLAS OPERATIVAS</t>
  </si>
  <si>
    <t>PISOS O TABURETES (FLOTANTE MESA ALTA + OPER. MESA ALTA)</t>
  </si>
  <si>
    <t>SILLAS VISITA</t>
  </si>
  <si>
    <t>PLANTA PISO 1</t>
  </si>
  <si>
    <t>I. MOBILIARIO PISO 1</t>
  </si>
  <si>
    <t>MESA ALTA CAFETERIA 10P</t>
  </si>
  <si>
    <t>MESON ESCRITORIO "SALA DE REUNIONES" 16P</t>
  </si>
  <si>
    <t>PISOS O TABURETES (MESA ALTA CAFETERIA)</t>
  </si>
  <si>
    <t>PLANTA PISO 2</t>
  </si>
  <si>
    <t>I. MOBILIARIO PISO 2</t>
  </si>
  <si>
    <t>ESCRITORIO "SALA CONFERENCIAS 6P" 220X120</t>
  </si>
  <si>
    <t>ESCRITORIO "SALA REUNIONES 6P" 122X100</t>
  </si>
  <si>
    <t>ESCRITORIO "SALA REUNIONES 4P" 100X100</t>
  </si>
  <si>
    <t>SILLAS PARA SALA REUNIONES</t>
  </si>
  <si>
    <t>TOTAL COSTO DIRECTO</t>
  </si>
  <si>
    <t>DESCUENTOS</t>
  </si>
  <si>
    <t>TOTAL NETO</t>
  </si>
  <si>
    <t>I.V.A.</t>
  </si>
  <si>
    <t>TOTAL PRESUPUESTO</t>
  </si>
  <si>
    <t>SILLAS PARA DIRECTORES</t>
  </si>
  <si>
    <t>ARCHIVADORES EXTRA REUNION 100CM ALTO</t>
  </si>
  <si>
    <t>FLOTANTE MESA ALTA 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</si>
</sst>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 * #,##0_ ;_ * \-#,##0_ ;_ * &quot;-&quot;_ ;_ @_ "/>
    <numFmt numFmtId="43" formatCode="_ * #,##0.00_ ;_ * \-#,##0.00_ ;_ * &quot;-&quot;??_ ;_ @_ "/>
    <numFmt numFmtId="164" formatCode="[$-340A]d&quot; de &quot;mmmm&quot; de &quot;yyyy;@"/>
    <numFmt numFmtId="165" formatCode="d\.m"/>
    <numFmt numFmtId="166" formatCode="_-* #,##0.00_-;\-* #,##0.00_-;_-* &quot;-&quot;??_-;_-@_-"/>
  </numFmts>
  <fonts count="21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0"/>
      <name val="Helv"/>
    </font>
    <font>
      <b/>
      <sz val="16"/>
      <color theme="0"/>
      <name val="Arial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b/>
      <sz val="12"/>
      <color theme="0"/>
      <name val="Arial"/>
      <family val="2"/>
    </font>
    <font>
      <sz val="10"/>
      <color rgb="FF000000"/>
      <name val="Arial"/>
    </font>
    <font>
      <b/>
      <sz val="14"/>
      <color theme="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theme="0"/>
      <name val="Arial"/>
    </font>
    <font>
      <sz val="12"/>
      <color theme="0"/>
      <name val="Arial"/>
      <family val="2"/>
    </font>
    <font>
      <sz val="8"/>
      <name val="Arial"/>
    </font>
    <font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1869B"/>
        <bgColor rgb="FFFFFFFF"/>
      </patternFill>
    </fill>
    <fill>
      <patternFill patternType="solid">
        <fgColor rgb="FF31869B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rgb="FFD8D8D8"/>
      </patternFill>
    </fill>
    <fill>
      <patternFill patternType="solid">
        <fgColor theme="3"/>
        <bgColor rgb="FFA5A5A5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2" fillId="0" borderId="0"/>
    <xf numFmtId="0" fontId="6" fillId="0" borderId="0"/>
    <xf numFmtId="166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3" fillId="2" borderId="0" xfId="1" applyFont="1" applyFill="1"/>
    <xf numFmtId="0" fontId="3" fillId="2" borderId="0" xfId="1" applyFont="1" applyFill="1" applyAlignment="1">
      <alignment horizontal="center" vertical="center"/>
    </xf>
    <xf numFmtId="0" fontId="3" fillId="2" borderId="0" xfId="1" applyNumberFormat="1" applyFont="1" applyFill="1" applyAlignment="1">
      <alignment vertical="center"/>
    </xf>
    <xf numFmtId="0" fontId="3" fillId="2" borderId="0" xfId="1" applyFont="1" applyFill="1" applyAlignment="1">
      <alignment horizontal="center" wrapText="1"/>
    </xf>
    <xf numFmtId="1" fontId="3" fillId="2" borderId="0" xfId="1" applyNumberFormat="1" applyFont="1" applyFill="1" applyAlignment="1">
      <alignment horizontal="right"/>
    </xf>
    <xf numFmtId="3" fontId="3" fillId="2" borderId="0" xfId="1" applyNumberFormat="1" applyFont="1" applyFill="1" applyAlignment="1">
      <alignment horizontal="center"/>
    </xf>
    <xf numFmtId="3" fontId="3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left"/>
    </xf>
    <xf numFmtId="0" fontId="4" fillId="2" borderId="0" xfId="1" applyFont="1" applyFill="1" applyAlignment="1"/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1" fontId="4" fillId="2" borderId="0" xfId="1" applyNumberFormat="1" applyFont="1" applyFill="1" applyAlignment="1">
      <alignment horizontal="right"/>
    </xf>
    <xf numFmtId="0" fontId="5" fillId="2" borderId="0" xfId="1" applyFont="1" applyFill="1"/>
    <xf numFmtId="1" fontId="5" fillId="2" borderId="0" xfId="2" applyNumberFormat="1" applyFont="1" applyFill="1" applyAlignment="1">
      <alignment horizontal="right"/>
    </xf>
    <xf numFmtId="3" fontId="5" fillId="2" borderId="0" xfId="2" applyNumberFormat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5" fillId="2" borderId="0" xfId="1" applyNumberFormat="1" applyFont="1" applyFill="1" applyAlignment="1">
      <alignment horizontal="center" vertical="center"/>
    </xf>
    <xf numFmtId="0" fontId="5" fillId="2" borderId="0" xfId="1" applyFont="1" applyFill="1" applyAlignment="1">
      <alignment horizontal="center" wrapText="1"/>
    </xf>
    <xf numFmtId="1" fontId="5" fillId="2" borderId="0" xfId="1" applyNumberFormat="1" applyFont="1" applyFill="1" applyAlignment="1">
      <alignment horizontal="right"/>
    </xf>
    <xf numFmtId="3" fontId="5" fillId="2" borderId="0" xfId="1" applyNumberFormat="1" applyFont="1" applyFill="1" applyAlignment="1">
      <alignment horizontal="center"/>
    </xf>
    <xf numFmtId="3" fontId="5" fillId="2" borderId="0" xfId="1" applyNumberFormat="1" applyFont="1" applyFill="1" applyAlignment="1">
      <alignment horizontal="right"/>
    </xf>
    <xf numFmtId="0" fontId="5" fillId="2" borderId="0" xfId="1" applyNumberFormat="1" applyFont="1" applyFill="1" applyAlignment="1">
      <alignment horizontal="center"/>
    </xf>
    <xf numFmtId="0" fontId="5" fillId="2" borderId="0" xfId="2" applyNumberFormat="1" applyFont="1" applyFill="1" applyAlignment="1">
      <alignment vertical="center" wrapText="1"/>
    </xf>
    <xf numFmtId="3" fontId="5" fillId="2" borderId="0" xfId="2" applyNumberFormat="1" applyFont="1" applyFill="1" applyAlignment="1">
      <alignment horizontal="right"/>
    </xf>
    <xf numFmtId="0" fontId="5" fillId="2" borderId="0" xfId="2" applyNumberFormat="1" applyFont="1" applyFill="1" applyAlignment="1">
      <alignment horizontal="left" wrapText="1"/>
    </xf>
    <xf numFmtId="0" fontId="5" fillId="2" borderId="0" xfId="2" applyNumberFormat="1" applyFont="1" applyFill="1" applyAlignment="1">
      <alignment vertical="center"/>
    </xf>
    <xf numFmtId="0" fontId="5" fillId="2" borderId="0" xfId="2" applyFont="1" applyFill="1" applyAlignment="1">
      <alignment horizontal="center" wrapText="1"/>
    </xf>
    <xf numFmtId="164" fontId="5" fillId="2" borderId="0" xfId="1" applyNumberFormat="1" applyFont="1" applyFill="1" applyBorder="1" applyAlignment="1">
      <alignment horizontal="left"/>
    </xf>
    <xf numFmtId="164" fontId="5" fillId="2" borderId="0" xfId="1" applyNumberFormat="1" applyFont="1" applyFill="1" applyBorder="1" applyAlignment="1">
      <alignment horizontal="left" vertical="center"/>
    </xf>
    <xf numFmtId="0" fontId="8" fillId="2" borderId="0" xfId="1" applyFont="1" applyFill="1"/>
    <xf numFmtId="0" fontId="8" fillId="2" borderId="0" xfId="1" applyNumberFormat="1" applyFont="1" applyFill="1" applyAlignment="1">
      <alignment horizontal="left"/>
    </xf>
    <xf numFmtId="0" fontId="9" fillId="2" borderId="0" xfId="1" applyFont="1" applyFill="1"/>
    <xf numFmtId="0" fontId="10" fillId="2" borderId="0" xfId="1" applyFont="1" applyFill="1"/>
    <xf numFmtId="0" fontId="5" fillId="2" borderId="0" xfId="1" applyFont="1" applyFill="1" applyAlignment="1">
      <alignment horizontal="left"/>
    </xf>
    <xf numFmtId="4" fontId="5" fillId="2" borderId="0" xfId="1" applyNumberFormat="1" applyFont="1" applyFill="1" applyAlignment="1">
      <alignment horizontal="left" vertical="center"/>
    </xf>
    <xf numFmtId="0" fontId="8" fillId="2" borderId="0" xfId="1" applyNumberFormat="1" applyFont="1" applyFill="1" applyAlignment="1">
      <alignment horizontal="left" vertical="center"/>
    </xf>
    <xf numFmtId="0" fontId="8" fillId="2" borderId="0" xfId="1" applyFont="1" applyFill="1" applyBorder="1" applyAlignment="1">
      <alignment horizontal="center" wrapText="1"/>
    </xf>
    <xf numFmtId="1" fontId="11" fillId="2" borderId="0" xfId="1" applyNumberFormat="1" applyFont="1" applyFill="1" applyAlignment="1">
      <alignment horizontal="right"/>
    </xf>
    <xf numFmtId="3" fontId="11" fillId="2" borderId="0" xfId="1" applyNumberFormat="1" applyFont="1" applyFill="1" applyAlignment="1">
      <alignment horizontal="center"/>
    </xf>
    <xf numFmtId="0" fontId="11" fillId="2" borderId="0" xfId="1" applyFont="1" applyFill="1"/>
    <xf numFmtId="4" fontId="5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wrapText="1"/>
    </xf>
    <xf numFmtId="0" fontId="2" fillId="2" borderId="0" xfId="1" applyFont="1" applyFill="1" applyAlignment="1">
      <alignment vertical="center"/>
    </xf>
    <xf numFmtId="165" fontId="14" fillId="4" borderId="3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vertical="center"/>
    </xf>
    <xf numFmtId="0" fontId="14" fillId="4" borderId="5" xfId="0" applyFont="1" applyFill="1" applyBorder="1" applyAlignment="1">
      <alignment horizontal="center" vertical="center"/>
    </xf>
    <xf numFmtId="3" fontId="14" fillId="4" borderId="5" xfId="0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vertical="center"/>
    </xf>
    <xf numFmtId="165" fontId="15" fillId="6" borderId="3" xfId="0" applyNumberFormat="1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vertical="center"/>
    </xf>
    <xf numFmtId="0" fontId="15" fillId="6" borderId="5" xfId="0" applyFont="1" applyFill="1" applyBorder="1" applyAlignment="1">
      <alignment horizontal="center" vertical="center"/>
    </xf>
    <xf numFmtId="3" fontId="15" fillId="6" borderId="5" xfId="0" applyNumberFormat="1" applyFont="1" applyFill="1" applyBorder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3" fontId="3" fillId="8" borderId="5" xfId="0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0" fillId="8" borderId="4" xfId="0" applyFont="1" applyFill="1" applyBorder="1" applyAlignment="1">
      <alignment horizontal="left" vertical="center"/>
    </xf>
    <xf numFmtId="3" fontId="3" fillId="9" borderId="5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0" xfId="1" applyFont="1" applyFill="1" applyAlignment="1">
      <alignment horizontal="center" vertical="center"/>
    </xf>
    <xf numFmtId="3" fontId="14" fillId="10" borderId="9" xfId="0" applyNumberFormat="1" applyFont="1" applyFill="1" applyBorder="1" applyAlignment="1">
      <alignment horizontal="right" vertical="top" wrapText="1"/>
    </xf>
    <xf numFmtId="9" fontId="3" fillId="9" borderId="11" xfId="0" applyNumberFormat="1" applyFont="1" applyFill="1" applyBorder="1" applyAlignment="1">
      <alignment horizontal="center"/>
    </xf>
    <xf numFmtId="3" fontId="3" fillId="9" borderId="12" xfId="0" applyNumberFormat="1" applyFont="1" applyFill="1" applyBorder="1" applyAlignment="1">
      <alignment horizontal="right" vertical="top"/>
    </xf>
    <xf numFmtId="3" fontId="18" fillId="4" borderId="15" xfId="0" applyNumberFormat="1" applyFont="1" applyFill="1" applyBorder="1" applyAlignment="1">
      <alignment horizontal="right" vertical="top"/>
    </xf>
    <xf numFmtId="9" fontId="3" fillId="9" borderId="18" xfId="0" applyNumberFormat="1" applyFont="1" applyFill="1" applyBorder="1" applyAlignment="1">
      <alignment horizontal="center"/>
    </xf>
    <xf numFmtId="3" fontId="3" fillId="9" borderId="19" xfId="0" applyNumberFormat="1" applyFont="1" applyFill="1" applyBorder="1" applyAlignment="1">
      <alignment horizontal="right" vertical="top"/>
    </xf>
    <xf numFmtId="3" fontId="14" fillId="11" borderId="20" xfId="0" applyNumberFormat="1" applyFont="1" applyFill="1" applyBorder="1" applyAlignment="1">
      <alignment horizontal="right" vertical="center" wrapText="1"/>
    </xf>
    <xf numFmtId="0" fontId="2" fillId="2" borderId="0" xfId="1" applyNumberFormat="1" applyFont="1" applyFill="1" applyAlignment="1">
      <alignment vertical="center"/>
    </xf>
    <xf numFmtId="0" fontId="2" fillId="2" borderId="0" xfId="1" applyFont="1" applyFill="1" applyAlignment="1">
      <alignment horizontal="center" wrapText="1"/>
    </xf>
    <xf numFmtId="1" fontId="2" fillId="2" borderId="0" xfId="1" applyNumberFormat="1" applyFont="1" applyFill="1" applyAlignment="1">
      <alignment horizontal="right"/>
    </xf>
    <xf numFmtId="3" fontId="2" fillId="2" borderId="0" xfId="1" applyNumberFormat="1" applyFont="1" applyFill="1" applyAlignment="1">
      <alignment horizontal="center"/>
    </xf>
    <xf numFmtId="3" fontId="2" fillId="2" borderId="0" xfId="1" applyNumberFormat="1" applyFont="1" applyFill="1" applyAlignment="1">
      <alignment horizontal="right"/>
    </xf>
    <xf numFmtId="3" fontId="3" fillId="8" borderId="0" xfId="0" applyNumberFormat="1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center" vertical="center"/>
    </xf>
    <xf numFmtId="0" fontId="0" fillId="8" borderId="23" xfId="0" applyFont="1" applyFill="1" applyBorder="1" applyAlignment="1">
      <alignment vertical="center"/>
    </xf>
    <xf numFmtId="0" fontId="3" fillId="8" borderId="24" xfId="0" applyFont="1" applyFill="1" applyBorder="1" applyAlignment="1">
      <alignment horizontal="center" vertical="center"/>
    </xf>
    <xf numFmtId="3" fontId="3" fillId="8" borderId="24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8" borderId="22" xfId="0" applyFont="1" applyFill="1" applyBorder="1" applyAlignment="1">
      <alignment vertical="center"/>
    </xf>
    <xf numFmtId="0" fontId="3" fillId="8" borderId="22" xfId="0" applyFont="1" applyFill="1" applyBorder="1" applyAlignment="1">
      <alignment horizontal="center" vertical="center"/>
    </xf>
    <xf numFmtId="3" fontId="3" fillId="8" borderId="22" xfId="0" applyNumberFormat="1" applyFont="1" applyFill="1" applyBorder="1" applyAlignment="1">
      <alignment horizontal="center" vertical="center"/>
    </xf>
    <xf numFmtId="0" fontId="12" fillId="3" borderId="7" xfId="1" applyFont="1" applyFill="1" applyBorder="1" applyAlignment="1">
      <alignment horizontal="center" vertical="center" wrapText="1"/>
    </xf>
    <xf numFmtId="0" fontId="12" fillId="3" borderId="25" xfId="1" applyNumberFormat="1" applyFont="1" applyFill="1" applyBorder="1" applyAlignment="1">
      <alignment horizontal="left" vertical="center" wrapText="1"/>
    </xf>
    <xf numFmtId="0" fontId="12" fillId="3" borderId="25" xfId="1" applyFont="1" applyFill="1" applyBorder="1" applyAlignment="1">
      <alignment horizontal="center" vertical="center" wrapText="1"/>
    </xf>
    <xf numFmtId="1" fontId="12" fillId="3" borderId="25" xfId="1" applyNumberFormat="1" applyFont="1" applyFill="1" applyBorder="1" applyAlignment="1">
      <alignment horizontal="center" vertical="center" wrapText="1"/>
    </xf>
    <xf numFmtId="165" fontId="14" fillId="4" borderId="6" xfId="0" applyNumberFormat="1" applyFont="1" applyFill="1" applyBorder="1" applyAlignment="1">
      <alignment horizontal="right" vertical="center"/>
    </xf>
    <xf numFmtId="3" fontId="14" fillId="4" borderId="26" xfId="0" applyNumberFormat="1" applyFont="1" applyFill="1" applyBorder="1" applyAlignment="1">
      <alignment horizontal="right" vertical="center"/>
    </xf>
    <xf numFmtId="165" fontId="15" fillId="6" borderId="6" xfId="0" applyNumberFormat="1" applyFont="1" applyFill="1" applyBorder="1" applyAlignment="1">
      <alignment horizontal="right" vertical="center"/>
    </xf>
    <xf numFmtId="3" fontId="15" fillId="6" borderId="26" xfId="0" applyNumberFormat="1" applyFont="1" applyFill="1" applyBorder="1" applyAlignment="1">
      <alignment horizontal="right" vertical="center"/>
    </xf>
    <xf numFmtId="165" fontId="2" fillId="8" borderId="6" xfId="0" applyNumberFormat="1" applyFont="1" applyFill="1" applyBorder="1" applyAlignment="1">
      <alignment horizontal="right" vertical="center"/>
    </xf>
    <xf numFmtId="3" fontId="3" fillId="8" borderId="26" xfId="0" applyNumberFormat="1" applyFont="1" applyFill="1" applyBorder="1" applyAlignment="1">
      <alignment horizontal="right" vertical="center"/>
    </xf>
    <xf numFmtId="165" fontId="2" fillId="8" borderId="1" xfId="0" applyNumberFormat="1" applyFont="1" applyFill="1" applyBorder="1" applyAlignment="1">
      <alignment horizontal="right" vertical="center"/>
    </xf>
    <xf numFmtId="3" fontId="3" fillId="8" borderId="19" xfId="0" applyNumberFormat="1" applyFont="1" applyFill="1" applyBorder="1" applyAlignment="1">
      <alignment horizontal="right" vertical="center"/>
    </xf>
    <xf numFmtId="165" fontId="2" fillId="8" borderId="27" xfId="0" applyNumberFormat="1" applyFont="1" applyFill="1" applyBorder="1" applyAlignment="1">
      <alignment horizontal="right" vertical="center"/>
    </xf>
    <xf numFmtId="165" fontId="2" fillId="8" borderId="28" xfId="0" applyNumberFormat="1" applyFont="1" applyFill="1" applyBorder="1" applyAlignment="1">
      <alignment horizontal="right" vertical="center"/>
    </xf>
    <xf numFmtId="0" fontId="3" fillId="2" borderId="29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/>
    </xf>
    <xf numFmtId="0" fontId="3" fillId="8" borderId="31" xfId="0" applyFont="1" applyFill="1" applyBorder="1" applyAlignment="1">
      <alignment horizontal="center" vertical="center"/>
    </xf>
    <xf numFmtId="3" fontId="3" fillId="8" borderId="31" xfId="0" applyNumberFormat="1" applyFont="1" applyFill="1" applyBorder="1" applyAlignment="1">
      <alignment horizontal="center" vertical="center"/>
    </xf>
    <xf numFmtId="3" fontId="3" fillId="8" borderId="15" xfId="0" applyNumberFormat="1" applyFont="1" applyFill="1" applyBorder="1" applyAlignment="1">
      <alignment horizontal="right" vertical="center"/>
    </xf>
    <xf numFmtId="3" fontId="12" fillId="3" borderId="32" xfId="1" applyNumberFormat="1" applyFont="1" applyFill="1" applyBorder="1" applyAlignment="1">
      <alignment horizontal="center" vertical="center" wrapText="1"/>
    </xf>
    <xf numFmtId="3" fontId="14" fillId="5" borderId="2" xfId="0" applyNumberFormat="1" applyFont="1" applyFill="1" applyBorder="1" applyAlignment="1">
      <alignment horizontal="right" vertical="center"/>
    </xf>
    <xf numFmtId="3" fontId="15" fillId="7" borderId="2" xfId="0" applyNumberFormat="1" applyFont="1" applyFill="1" applyBorder="1" applyAlignment="1">
      <alignment horizontal="right" vertical="center"/>
    </xf>
    <xf numFmtId="3" fontId="3" fillId="8" borderId="2" xfId="0" applyNumberFormat="1" applyFont="1" applyFill="1" applyBorder="1" applyAlignment="1">
      <alignment horizontal="right" vertical="center"/>
    </xf>
    <xf numFmtId="3" fontId="3" fillId="8" borderId="33" xfId="0" applyNumberFormat="1" applyFont="1" applyFill="1" applyBorder="1" applyAlignment="1">
      <alignment horizontal="right" vertical="center"/>
    </xf>
    <xf numFmtId="3" fontId="3" fillId="8" borderId="34" xfId="0" applyNumberFormat="1" applyFont="1" applyFill="1" applyBorder="1" applyAlignment="1">
      <alignment horizontal="right" vertical="center"/>
    </xf>
    <xf numFmtId="3" fontId="12" fillId="3" borderId="35" xfId="1" applyNumberFormat="1" applyFont="1" applyFill="1" applyBorder="1" applyAlignment="1">
      <alignment horizontal="center" vertical="center" wrapText="1"/>
    </xf>
    <xf numFmtId="3" fontId="3" fillId="8" borderId="36" xfId="0" applyNumberFormat="1" applyFont="1" applyFill="1" applyBorder="1" applyAlignment="1">
      <alignment horizontal="right" vertical="center"/>
    </xf>
    <xf numFmtId="0" fontId="14" fillId="11" borderId="16" xfId="0" applyFont="1" applyFill="1" applyBorder="1" applyAlignment="1">
      <alignment horizontal="left" vertical="center" wrapText="1"/>
    </xf>
    <xf numFmtId="0" fontId="14" fillId="11" borderId="17" xfId="0" applyFont="1" applyFill="1" applyBorder="1" applyAlignment="1">
      <alignment horizontal="left" vertical="center" wrapText="1"/>
    </xf>
    <xf numFmtId="3" fontId="11" fillId="2" borderId="0" xfId="1" applyNumberFormat="1" applyFont="1" applyFill="1" applyAlignment="1">
      <alignment horizontal="center"/>
    </xf>
    <xf numFmtId="0" fontId="12" fillId="10" borderId="7" xfId="0" applyFont="1" applyFill="1" applyBorder="1" applyAlignment="1">
      <alignment horizontal="left" vertical="top" wrapText="1"/>
    </xf>
    <xf numFmtId="0" fontId="12" fillId="10" borderId="8" xfId="0" applyFont="1" applyFill="1" applyBorder="1" applyAlignment="1">
      <alignment horizontal="left" vertical="top" wrapText="1"/>
    </xf>
    <xf numFmtId="0" fontId="16" fillId="9" borderId="10" xfId="0" applyFont="1" applyFill="1" applyBorder="1" applyAlignment="1">
      <alignment horizontal="left"/>
    </xf>
    <xf numFmtId="0" fontId="16" fillId="9" borderId="11" xfId="0" applyFont="1" applyFill="1" applyBorder="1" applyAlignment="1">
      <alignment horizontal="left"/>
    </xf>
    <xf numFmtId="0" fontId="17" fillId="10" borderId="13" xfId="0" applyFont="1" applyFill="1" applyBorder="1" applyAlignment="1">
      <alignment horizontal="left"/>
    </xf>
    <xf numFmtId="0" fontId="17" fillId="10" borderId="14" xfId="0" applyFont="1" applyFill="1" applyBorder="1" applyAlignment="1">
      <alignment horizontal="left"/>
    </xf>
    <xf numFmtId="0" fontId="16" fillId="9" borderId="16" xfId="0" applyFont="1" applyFill="1" applyBorder="1" applyAlignment="1">
      <alignment horizontal="left"/>
    </xf>
    <xf numFmtId="0" fontId="16" fillId="9" borderId="17" xfId="0" applyFont="1" applyFill="1" applyBorder="1" applyAlignment="1">
      <alignment horizontal="left"/>
    </xf>
  </cellXfs>
  <cellStyles count="11">
    <cellStyle name="Comma 2" xfId="3"/>
    <cellStyle name="Estilo 1" xfId="2"/>
    <cellStyle name="Millares [0] 2" xfId="4"/>
    <cellStyle name="Millares 2" xfId="5"/>
    <cellStyle name="Normal" xfId="0" builtinId="0"/>
    <cellStyle name="Normal 2" xfId="1"/>
    <cellStyle name="Normal 3" xfId="6"/>
    <cellStyle name="Normal 4" xfId="7"/>
    <cellStyle name="Percent 2" xfId="8"/>
    <cellStyle name="Porcentaje 2" xfId="9"/>
    <cellStyle name="Porcentual 2" xfId="1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vertical="center" textRotation="0" wrapText="0" justifyLastLine="0" shrinkToFit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317500</xdr:colOff>
      <xdr:row>3</xdr:row>
      <xdr:rowOff>80433</xdr:rowOff>
    </xdr:from>
    <xdr:ext cx="5112456" cy="62512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1200" y="651933"/>
          <a:ext cx="5112456" cy="625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id="1" name="Tabla1454" displayName="Tabla1454" ref="B18:H72" totalsRowShown="0" dataDxfId="8" tableBorderDxfId="7">
  <autoFilter ref="B18:H72"/>
  <tableColumns count="7">
    <tableColumn id="1" name="AREA" dataDxfId="6"/>
    <tableColumn id="2" name="NUMERACION" dataDxfId="5"/>
    <tableColumn id="3" name="PARTIDAS" dataDxfId="4"/>
    <tableColumn id="4" name="UNIDAD" dataDxfId="3"/>
    <tableColumn id="5" name="CANTIDAD" dataDxfId="2"/>
    <tableColumn id="7" name="PRECIO UN." dataDxfId="1"/>
    <tableColumn id="8" name="TOTAL PP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zoomScale="90" zoomScaleNormal="90" zoomScaleSheetLayoutView="70" zoomScalePageLayoutView="90" workbookViewId="0">
      <pane ySplit="18" topLeftCell="A59" activePane="bottomLeft" state="frozen"/>
      <selection activeCell="B1" sqref="B1"/>
      <selection pane="bottomLeft" activeCell="F62" sqref="F62"/>
    </sheetView>
  </sheetViews>
  <sheetFormatPr baseColWidth="10" defaultColWidth="11.5" defaultRowHeight="13" outlineLevelRow="1" x14ac:dyDescent="0.15"/>
  <cols>
    <col min="1" max="1" width="1.6640625" style="66" customWidth="1"/>
    <col min="2" max="2" width="27.83203125" style="66" customWidth="1"/>
    <col min="3" max="3" width="25.6640625" style="67" customWidth="1"/>
    <col min="4" max="4" width="72.6640625" style="75" customWidth="1"/>
    <col min="5" max="5" width="20.6640625" style="76" bestFit="1" customWidth="1"/>
    <col min="6" max="6" width="18.33203125" style="77" customWidth="1"/>
    <col min="7" max="7" width="20" style="78" customWidth="1"/>
    <col min="8" max="8" width="20.1640625" style="79" customWidth="1"/>
    <col min="9" max="16384" width="11.5" style="66"/>
  </cols>
  <sheetData>
    <row r="1" spans="1:8" s="1" customFormat="1" ht="15" customHeight="1" x14ac:dyDescent="0.2">
      <c r="C1" s="2"/>
      <c r="D1" s="3"/>
      <c r="E1" s="4"/>
      <c r="F1" s="5"/>
      <c r="G1" s="6"/>
      <c r="H1" s="7"/>
    </row>
    <row r="2" spans="1:8" s="1" customFormat="1" ht="15" customHeight="1" x14ac:dyDescent="0.2">
      <c r="C2" s="2"/>
      <c r="D2" s="3"/>
      <c r="E2" s="4"/>
      <c r="F2" s="5"/>
      <c r="G2" s="6"/>
      <c r="H2" s="7"/>
    </row>
    <row r="3" spans="1:8" s="1" customFormat="1" ht="15" customHeight="1" x14ac:dyDescent="0.2">
      <c r="C3" s="2"/>
      <c r="D3" s="3"/>
      <c r="E3" s="4"/>
      <c r="F3" s="5"/>
      <c r="G3" s="6"/>
      <c r="H3" s="7"/>
    </row>
    <row r="4" spans="1:8" s="1" customFormat="1" ht="15" customHeight="1" x14ac:dyDescent="0.2">
      <c r="C4" s="2"/>
      <c r="D4" s="3"/>
      <c r="E4" s="4"/>
      <c r="F4" s="5"/>
      <c r="G4" s="6"/>
      <c r="H4" s="7"/>
    </row>
    <row r="5" spans="1:8" s="1" customFormat="1" ht="15" customHeight="1" x14ac:dyDescent="0.2">
      <c r="C5" s="2"/>
      <c r="D5" s="3"/>
      <c r="E5" s="4"/>
      <c r="F5" s="5"/>
      <c r="G5" s="6"/>
      <c r="H5" s="7"/>
    </row>
    <row r="6" spans="1:8" s="1" customFormat="1" ht="15" customHeight="1" x14ac:dyDescent="0.2">
      <c r="C6" s="2"/>
      <c r="D6" s="3"/>
      <c r="E6" s="4"/>
      <c r="F6" s="5"/>
      <c r="G6" s="6"/>
      <c r="H6" s="7"/>
    </row>
    <row r="7" spans="1:8" s="1" customFormat="1" ht="15" customHeight="1" x14ac:dyDescent="0.2">
      <c r="A7" s="8"/>
      <c r="C7" s="2"/>
      <c r="D7" s="3"/>
      <c r="E7" s="4"/>
      <c r="F7" s="5"/>
      <c r="G7" s="6"/>
      <c r="H7" s="7"/>
    </row>
    <row r="8" spans="1:8" s="1" customFormat="1" ht="15" customHeight="1" x14ac:dyDescent="0.2">
      <c r="B8" s="9" t="s">
        <v>0</v>
      </c>
      <c r="C8" s="10"/>
      <c r="D8" s="11"/>
      <c r="E8" s="12"/>
      <c r="F8" s="13"/>
      <c r="G8" s="9"/>
      <c r="H8" s="9"/>
    </row>
    <row r="9" spans="1:8" s="1" customFormat="1" ht="15" customHeight="1" x14ac:dyDescent="0.2">
      <c r="A9" s="14"/>
      <c r="C9" s="10"/>
      <c r="E9" s="15"/>
      <c r="F9" s="16"/>
    </row>
    <row r="10" spans="1:8" s="1" customFormat="1" ht="15" customHeight="1" x14ac:dyDescent="0.2">
      <c r="A10" s="17"/>
      <c r="C10" s="18"/>
      <c r="D10" s="19"/>
      <c r="E10" s="20"/>
      <c r="F10" s="21"/>
      <c r="G10" s="22"/>
      <c r="H10" s="23"/>
    </row>
    <row r="11" spans="1:8" s="1" customFormat="1" ht="15" customHeight="1" x14ac:dyDescent="0.2">
      <c r="A11" s="14"/>
      <c r="B11" s="17"/>
      <c r="C11" s="24"/>
      <c r="D11" s="25"/>
      <c r="F11" s="15"/>
      <c r="G11" s="16"/>
      <c r="H11" s="26"/>
    </row>
    <row r="12" spans="1:8" s="1" customFormat="1" ht="15" customHeight="1" x14ac:dyDescent="0.2">
      <c r="A12" s="14"/>
      <c r="B12" s="14" t="s">
        <v>1</v>
      </c>
      <c r="C12" s="27" t="s">
        <v>2</v>
      </c>
      <c r="D12" s="28"/>
      <c r="E12" s="29"/>
      <c r="F12" s="15"/>
      <c r="G12" s="16"/>
      <c r="H12" s="26"/>
    </row>
    <row r="13" spans="1:8" s="1" customFormat="1" ht="15" customHeight="1" x14ac:dyDescent="0.2">
      <c r="A13" s="14"/>
      <c r="B13" s="14" t="s">
        <v>3</v>
      </c>
      <c r="C13" s="30" t="s">
        <v>4</v>
      </c>
      <c r="D13" s="28"/>
      <c r="E13" s="29"/>
      <c r="F13" s="15"/>
      <c r="G13" s="16"/>
      <c r="H13" s="26"/>
    </row>
    <row r="14" spans="1:8" s="1" customFormat="1" ht="15" customHeight="1" x14ac:dyDescent="0.2">
      <c r="A14" s="14"/>
      <c r="B14" s="14" t="s">
        <v>5</v>
      </c>
      <c r="C14" s="30" t="s">
        <v>6</v>
      </c>
      <c r="D14" s="31"/>
      <c r="E14" s="20"/>
      <c r="F14" s="21"/>
      <c r="G14" s="22"/>
      <c r="H14" s="23"/>
    </row>
    <row r="15" spans="1:8" s="1" customFormat="1" ht="15" customHeight="1" x14ac:dyDescent="0.2">
      <c r="A15" s="14"/>
      <c r="B15" s="32"/>
      <c r="C15" s="33"/>
      <c r="D15" s="31"/>
      <c r="E15" s="20"/>
      <c r="F15" s="21"/>
      <c r="G15" s="22"/>
      <c r="H15" s="34"/>
    </row>
    <row r="16" spans="1:8" s="42" customFormat="1" ht="15" customHeight="1" x14ac:dyDescent="0.2">
      <c r="A16" s="35"/>
      <c r="B16" s="36" t="s">
        <v>7</v>
      </c>
      <c r="C16" s="37" t="s">
        <v>8</v>
      </c>
      <c r="D16" s="38"/>
      <c r="E16" s="39"/>
      <c r="F16" s="40"/>
      <c r="G16" s="41"/>
      <c r="H16" s="7"/>
    </row>
    <row r="17" spans="1:8" s="42" customFormat="1" ht="15" customHeight="1" thickBot="1" x14ac:dyDescent="0.25">
      <c r="A17" s="35"/>
      <c r="B17" s="36"/>
      <c r="C17" s="43"/>
      <c r="D17" s="38"/>
      <c r="E17" s="39"/>
      <c r="F17" s="40"/>
      <c r="G17" s="118"/>
      <c r="H17" s="118"/>
    </row>
    <row r="18" spans="1:8" s="44" customFormat="1" ht="29" customHeight="1" x14ac:dyDescent="0.2">
      <c r="B18" s="89" t="s">
        <v>9</v>
      </c>
      <c r="C18" s="89" t="s">
        <v>10</v>
      </c>
      <c r="D18" s="90" t="s">
        <v>11</v>
      </c>
      <c r="E18" s="91" t="s">
        <v>12</v>
      </c>
      <c r="F18" s="92" t="s">
        <v>13</v>
      </c>
      <c r="G18" s="108" t="s">
        <v>14</v>
      </c>
      <c r="H18" s="114" t="s">
        <v>15</v>
      </c>
    </row>
    <row r="19" spans="1:8" s="45" customFormat="1" ht="18" x14ac:dyDescent="0.15">
      <c r="B19" s="93"/>
      <c r="C19" s="46"/>
      <c r="D19" s="47" t="s">
        <v>16</v>
      </c>
      <c r="E19" s="48"/>
      <c r="F19" s="49"/>
      <c r="G19" s="109"/>
      <c r="H19" s="94">
        <f>H20</f>
        <v>0</v>
      </c>
    </row>
    <row r="20" spans="1:8" s="55" customFormat="1" ht="15" customHeight="1" x14ac:dyDescent="0.15">
      <c r="A20" s="50"/>
      <c r="B20" s="95"/>
      <c r="C20" s="51"/>
      <c r="D20" s="52" t="s">
        <v>17</v>
      </c>
      <c r="E20" s="53"/>
      <c r="F20" s="54"/>
      <c r="G20" s="110"/>
      <c r="H20" s="96">
        <f>SUM(H25:H33)</f>
        <v>0</v>
      </c>
    </row>
    <row r="21" spans="1:8" s="61" customFormat="1" ht="15" customHeight="1" outlineLevel="1" x14ac:dyDescent="0.15">
      <c r="A21" s="56"/>
      <c r="B21" s="97" t="s">
        <v>18</v>
      </c>
      <c r="C21" s="57">
        <v>1</v>
      </c>
      <c r="D21" s="58" t="s">
        <v>19</v>
      </c>
      <c r="E21" s="59" t="s">
        <v>20</v>
      </c>
      <c r="F21" s="60">
        <v>1</v>
      </c>
      <c r="G21" s="111"/>
      <c r="H21" s="98">
        <f t="shared" ref="H21:H59" si="0">G21*F21</f>
        <v>0</v>
      </c>
    </row>
    <row r="22" spans="1:8" s="61" customFormat="1" ht="15" customHeight="1" outlineLevel="1" x14ac:dyDescent="0.15">
      <c r="A22" s="56"/>
      <c r="B22" s="97" t="s">
        <v>18</v>
      </c>
      <c r="C22" s="57">
        <v>2</v>
      </c>
      <c r="D22" s="58" t="s">
        <v>21</v>
      </c>
      <c r="E22" s="59" t="s">
        <v>20</v>
      </c>
      <c r="F22" s="60">
        <v>1</v>
      </c>
      <c r="G22" s="111"/>
      <c r="H22" s="98">
        <f t="shared" si="0"/>
        <v>0</v>
      </c>
    </row>
    <row r="23" spans="1:8" s="61" customFormat="1" ht="15" customHeight="1" outlineLevel="1" x14ac:dyDescent="0.15">
      <c r="A23" s="56"/>
      <c r="B23" s="97" t="s">
        <v>18</v>
      </c>
      <c r="C23" s="57">
        <v>3</v>
      </c>
      <c r="D23" s="58" t="s">
        <v>22</v>
      </c>
      <c r="E23" s="59" t="s">
        <v>20</v>
      </c>
      <c r="F23" s="60">
        <v>1</v>
      </c>
      <c r="G23" s="111"/>
      <c r="H23" s="98">
        <f t="shared" si="0"/>
        <v>0</v>
      </c>
    </row>
    <row r="24" spans="1:8" s="61" customFormat="1" ht="15" customHeight="1" outlineLevel="1" x14ac:dyDescent="0.15">
      <c r="A24" s="56"/>
      <c r="B24" s="97" t="s">
        <v>18</v>
      </c>
      <c r="C24" s="57">
        <v>4</v>
      </c>
      <c r="D24" s="58" t="s">
        <v>23</v>
      </c>
      <c r="E24" s="59" t="s">
        <v>20</v>
      </c>
      <c r="F24" s="60">
        <v>1</v>
      </c>
      <c r="G24" s="111"/>
      <c r="H24" s="98">
        <f t="shared" si="0"/>
        <v>0</v>
      </c>
    </row>
    <row r="25" spans="1:8" s="61" customFormat="1" ht="15" customHeight="1" outlineLevel="1" x14ac:dyDescent="0.15">
      <c r="A25" s="56"/>
      <c r="B25" s="97" t="s">
        <v>18</v>
      </c>
      <c r="C25" s="57">
        <v>5</v>
      </c>
      <c r="D25" s="58" t="s">
        <v>24</v>
      </c>
      <c r="E25" s="59" t="s">
        <v>20</v>
      </c>
      <c r="F25" s="60">
        <v>1</v>
      </c>
      <c r="G25" s="111"/>
      <c r="H25" s="98">
        <f t="shared" si="0"/>
        <v>0</v>
      </c>
    </row>
    <row r="26" spans="1:8" s="61" customFormat="1" ht="15" customHeight="1" outlineLevel="1" x14ac:dyDescent="0.15">
      <c r="A26" s="56"/>
      <c r="B26" s="97" t="s">
        <v>18</v>
      </c>
      <c r="C26" s="57">
        <v>6</v>
      </c>
      <c r="D26" s="58" t="s">
        <v>25</v>
      </c>
      <c r="E26" s="59" t="s">
        <v>20</v>
      </c>
      <c r="F26" s="60">
        <v>1</v>
      </c>
      <c r="G26" s="111"/>
      <c r="H26" s="98">
        <f t="shared" si="0"/>
        <v>0</v>
      </c>
    </row>
    <row r="27" spans="1:8" s="61" customFormat="1" ht="15" customHeight="1" outlineLevel="1" x14ac:dyDescent="0.15">
      <c r="A27" s="56"/>
      <c r="B27" s="97" t="s">
        <v>18</v>
      </c>
      <c r="C27" s="57">
        <v>7</v>
      </c>
      <c r="D27" s="58" t="s">
        <v>26</v>
      </c>
      <c r="E27" s="59" t="s">
        <v>20</v>
      </c>
      <c r="F27" s="60">
        <v>1</v>
      </c>
      <c r="G27" s="111"/>
      <c r="H27" s="98">
        <f t="shared" si="0"/>
        <v>0</v>
      </c>
    </row>
    <row r="28" spans="1:8" s="61" customFormat="1" ht="15" customHeight="1" outlineLevel="1" x14ac:dyDescent="0.15">
      <c r="A28" s="56"/>
      <c r="B28" s="97" t="s">
        <v>18</v>
      </c>
      <c r="C28" s="57">
        <v>8</v>
      </c>
      <c r="D28" s="58" t="s">
        <v>27</v>
      </c>
      <c r="E28" s="59" t="s">
        <v>20</v>
      </c>
      <c r="F28" s="60">
        <v>1</v>
      </c>
      <c r="G28" s="111"/>
      <c r="H28" s="98">
        <f t="shared" si="0"/>
        <v>0</v>
      </c>
    </row>
    <row r="29" spans="1:8" s="61" customFormat="1" ht="15" customHeight="1" outlineLevel="1" x14ac:dyDescent="0.15">
      <c r="A29" s="56"/>
      <c r="B29" s="97" t="s">
        <v>18</v>
      </c>
      <c r="C29" s="57">
        <v>9</v>
      </c>
      <c r="D29" s="58" t="s">
        <v>28</v>
      </c>
      <c r="E29" s="59" t="s">
        <v>20</v>
      </c>
      <c r="F29" s="60">
        <v>1</v>
      </c>
      <c r="G29" s="111"/>
      <c r="H29" s="98">
        <f t="shared" si="0"/>
        <v>0</v>
      </c>
    </row>
    <row r="30" spans="1:8" s="61" customFormat="1" ht="15" customHeight="1" outlineLevel="1" x14ac:dyDescent="0.15">
      <c r="A30" s="56"/>
      <c r="B30" s="97" t="s">
        <v>18</v>
      </c>
      <c r="C30" s="57">
        <v>10</v>
      </c>
      <c r="D30" s="58" t="s">
        <v>29</v>
      </c>
      <c r="E30" s="59" t="s">
        <v>20</v>
      </c>
      <c r="F30" s="60">
        <v>1</v>
      </c>
      <c r="G30" s="111"/>
      <c r="H30" s="98">
        <f t="shared" si="0"/>
        <v>0</v>
      </c>
    </row>
    <row r="31" spans="1:8" s="61" customFormat="1" ht="15" customHeight="1" outlineLevel="1" x14ac:dyDescent="0.15">
      <c r="A31" s="56"/>
      <c r="B31" s="97" t="s">
        <v>18</v>
      </c>
      <c r="C31" s="57">
        <v>11</v>
      </c>
      <c r="D31" s="58" t="s">
        <v>30</v>
      </c>
      <c r="E31" s="59" t="s">
        <v>20</v>
      </c>
      <c r="F31" s="60">
        <v>1</v>
      </c>
      <c r="G31" s="111"/>
      <c r="H31" s="98">
        <f t="shared" si="0"/>
        <v>0</v>
      </c>
    </row>
    <row r="32" spans="1:8" s="61" customFormat="1" ht="15" customHeight="1" outlineLevel="1" x14ac:dyDescent="0.15">
      <c r="A32" s="56"/>
      <c r="B32" s="97" t="s">
        <v>18</v>
      </c>
      <c r="C32" s="57">
        <v>12</v>
      </c>
      <c r="D32" s="58" t="s">
        <v>31</v>
      </c>
      <c r="E32" s="59" t="s">
        <v>20</v>
      </c>
      <c r="F32" s="60">
        <v>1</v>
      </c>
      <c r="G32" s="111"/>
      <c r="H32" s="98">
        <f t="shared" si="0"/>
        <v>0</v>
      </c>
    </row>
    <row r="33" spans="1:8" s="61" customFormat="1" ht="15" customHeight="1" outlineLevel="1" x14ac:dyDescent="0.15">
      <c r="A33" s="56"/>
      <c r="B33" s="97" t="s">
        <v>18</v>
      </c>
      <c r="C33" s="57">
        <v>13</v>
      </c>
      <c r="D33" s="62" t="s">
        <v>32</v>
      </c>
      <c r="E33" s="59" t="s">
        <v>20</v>
      </c>
      <c r="F33" s="63">
        <v>1</v>
      </c>
      <c r="G33" s="111"/>
      <c r="H33" s="98">
        <f t="shared" si="0"/>
        <v>0</v>
      </c>
    </row>
    <row r="34" spans="1:8" s="61" customFormat="1" ht="15" customHeight="1" outlineLevel="1" x14ac:dyDescent="0.15">
      <c r="A34" s="56"/>
      <c r="B34" s="97" t="s">
        <v>18</v>
      </c>
      <c r="C34" s="57">
        <v>14</v>
      </c>
      <c r="D34" s="58" t="s">
        <v>30</v>
      </c>
      <c r="E34" s="59" t="s">
        <v>20</v>
      </c>
      <c r="F34" s="63">
        <v>1</v>
      </c>
      <c r="G34" s="111"/>
      <c r="H34" s="98">
        <f t="shared" si="0"/>
        <v>0</v>
      </c>
    </row>
    <row r="35" spans="1:8" s="61" customFormat="1" ht="15" customHeight="1" outlineLevel="1" x14ac:dyDescent="0.15">
      <c r="A35" s="56"/>
      <c r="B35" s="97" t="s">
        <v>18</v>
      </c>
      <c r="C35" s="57">
        <v>15</v>
      </c>
      <c r="D35" s="62" t="s">
        <v>33</v>
      </c>
      <c r="E35" s="59" t="s">
        <v>20</v>
      </c>
      <c r="F35" s="63">
        <v>1</v>
      </c>
      <c r="G35" s="111"/>
      <c r="H35" s="98">
        <f t="shared" si="0"/>
        <v>0</v>
      </c>
    </row>
    <row r="36" spans="1:8" s="61" customFormat="1" ht="15" customHeight="1" outlineLevel="1" x14ac:dyDescent="0.15">
      <c r="A36" s="56"/>
      <c r="B36" s="97" t="s">
        <v>18</v>
      </c>
      <c r="C36" s="57">
        <v>16</v>
      </c>
      <c r="D36" s="58" t="s">
        <v>30</v>
      </c>
      <c r="E36" s="59" t="s">
        <v>20</v>
      </c>
      <c r="F36" s="63">
        <v>1</v>
      </c>
      <c r="G36" s="111"/>
      <c r="H36" s="98">
        <f t="shared" si="0"/>
        <v>0</v>
      </c>
    </row>
    <row r="37" spans="1:8" s="61" customFormat="1" ht="15" customHeight="1" outlineLevel="1" x14ac:dyDescent="0.15">
      <c r="A37" s="56"/>
      <c r="B37" s="97" t="s">
        <v>18</v>
      </c>
      <c r="C37" s="57">
        <v>17</v>
      </c>
      <c r="D37" s="58" t="s">
        <v>34</v>
      </c>
      <c r="E37" s="59" t="s">
        <v>20</v>
      </c>
      <c r="F37" s="60">
        <v>1</v>
      </c>
      <c r="G37" s="111"/>
      <c r="H37" s="98">
        <f t="shared" si="0"/>
        <v>0</v>
      </c>
    </row>
    <row r="38" spans="1:8" s="61" customFormat="1" ht="15" customHeight="1" outlineLevel="1" x14ac:dyDescent="0.15">
      <c r="A38" s="56"/>
      <c r="B38" s="97" t="s">
        <v>18</v>
      </c>
      <c r="C38" s="57">
        <v>18</v>
      </c>
      <c r="D38" s="58" t="s">
        <v>35</v>
      </c>
      <c r="E38" s="59" t="s">
        <v>20</v>
      </c>
      <c r="F38" s="60">
        <v>1</v>
      </c>
      <c r="G38" s="111"/>
      <c r="H38" s="98">
        <f t="shared" si="0"/>
        <v>0</v>
      </c>
    </row>
    <row r="39" spans="1:8" s="61" customFormat="1" ht="15" customHeight="1" outlineLevel="1" x14ac:dyDescent="0.15">
      <c r="A39" s="56"/>
      <c r="B39" s="97" t="s">
        <v>18</v>
      </c>
      <c r="C39" s="57">
        <v>19</v>
      </c>
      <c r="D39" s="58" t="s">
        <v>36</v>
      </c>
      <c r="E39" s="59" t="s">
        <v>20</v>
      </c>
      <c r="F39" s="60">
        <v>1</v>
      </c>
      <c r="G39" s="111"/>
      <c r="H39" s="98">
        <f t="shared" si="0"/>
        <v>0</v>
      </c>
    </row>
    <row r="40" spans="1:8" s="61" customFormat="1" ht="15" customHeight="1" outlineLevel="1" x14ac:dyDescent="0.15">
      <c r="A40" s="56"/>
      <c r="B40" s="97" t="s">
        <v>18</v>
      </c>
      <c r="C40" s="57">
        <v>20</v>
      </c>
      <c r="D40" s="58" t="s">
        <v>37</v>
      </c>
      <c r="E40" s="59" t="s">
        <v>20</v>
      </c>
      <c r="F40" s="60">
        <v>1</v>
      </c>
      <c r="G40" s="111"/>
      <c r="H40" s="98">
        <f t="shared" si="0"/>
        <v>0</v>
      </c>
    </row>
    <row r="41" spans="1:8" s="61" customFormat="1" ht="15" customHeight="1" outlineLevel="1" x14ac:dyDescent="0.15">
      <c r="A41" s="56"/>
      <c r="B41" s="97" t="s">
        <v>18</v>
      </c>
      <c r="C41" s="57">
        <v>21</v>
      </c>
      <c r="D41" s="58" t="s">
        <v>38</v>
      </c>
      <c r="E41" s="59" t="s">
        <v>20</v>
      </c>
      <c r="F41" s="60">
        <v>1</v>
      </c>
      <c r="G41" s="111"/>
      <c r="H41" s="98">
        <f t="shared" si="0"/>
        <v>0</v>
      </c>
    </row>
    <row r="42" spans="1:8" s="61" customFormat="1" ht="15" customHeight="1" outlineLevel="1" x14ac:dyDescent="0.15">
      <c r="A42" s="56"/>
      <c r="B42" s="97" t="s">
        <v>18</v>
      </c>
      <c r="C42" s="57">
        <v>22</v>
      </c>
      <c r="D42" s="58" t="s">
        <v>39</v>
      </c>
      <c r="E42" s="59" t="s">
        <v>20</v>
      </c>
      <c r="F42" s="60">
        <v>1</v>
      </c>
      <c r="G42" s="111"/>
      <c r="H42" s="98">
        <f t="shared" si="0"/>
        <v>0</v>
      </c>
    </row>
    <row r="43" spans="1:8" s="61" customFormat="1" ht="15" customHeight="1" outlineLevel="1" x14ac:dyDescent="0.15">
      <c r="A43" s="56"/>
      <c r="B43" s="97" t="s">
        <v>18</v>
      </c>
      <c r="C43" s="57">
        <v>23</v>
      </c>
      <c r="D43" s="58" t="s">
        <v>40</v>
      </c>
      <c r="E43" s="59" t="s">
        <v>20</v>
      </c>
      <c r="F43" s="60">
        <v>1</v>
      </c>
      <c r="G43" s="111"/>
      <c r="H43" s="98">
        <f t="shared" si="0"/>
        <v>0</v>
      </c>
    </row>
    <row r="44" spans="1:8" s="61" customFormat="1" ht="15" customHeight="1" outlineLevel="1" x14ac:dyDescent="0.15">
      <c r="A44" s="56"/>
      <c r="B44" s="97" t="s">
        <v>18</v>
      </c>
      <c r="C44" s="57">
        <v>24</v>
      </c>
      <c r="D44" s="62" t="s">
        <v>30</v>
      </c>
      <c r="E44" s="59" t="s">
        <v>20</v>
      </c>
      <c r="F44" s="60">
        <v>1</v>
      </c>
      <c r="G44" s="111"/>
      <c r="H44" s="98">
        <f t="shared" si="0"/>
        <v>0</v>
      </c>
    </row>
    <row r="45" spans="1:8" s="61" customFormat="1" ht="15" customHeight="1" outlineLevel="1" x14ac:dyDescent="0.15">
      <c r="A45" s="56"/>
      <c r="B45" s="97" t="s">
        <v>18</v>
      </c>
      <c r="C45" s="57">
        <v>25</v>
      </c>
      <c r="D45" s="62" t="s">
        <v>30</v>
      </c>
      <c r="E45" s="59" t="s">
        <v>20</v>
      </c>
      <c r="F45" s="60">
        <v>1</v>
      </c>
      <c r="G45" s="111"/>
      <c r="H45" s="98">
        <f t="shared" si="0"/>
        <v>0</v>
      </c>
    </row>
    <row r="46" spans="1:8" s="61" customFormat="1" ht="15" customHeight="1" outlineLevel="1" x14ac:dyDescent="0.15">
      <c r="A46" s="56"/>
      <c r="B46" s="97" t="s">
        <v>18</v>
      </c>
      <c r="C46" s="57">
        <v>26</v>
      </c>
      <c r="D46" s="62" t="s">
        <v>41</v>
      </c>
      <c r="E46" s="59" t="s">
        <v>20</v>
      </c>
      <c r="F46" s="60">
        <v>1</v>
      </c>
      <c r="G46" s="111"/>
      <c r="H46" s="98">
        <f t="shared" si="0"/>
        <v>0</v>
      </c>
    </row>
    <row r="47" spans="1:8" s="61" customFormat="1" ht="15" customHeight="1" outlineLevel="1" x14ac:dyDescent="0.15">
      <c r="A47" s="56"/>
      <c r="B47" s="97" t="s">
        <v>18</v>
      </c>
      <c r="C47" s="57">
        <v>27</v>
      </c>
      <c r="D47" s="62" t="s">
        <v>42</v>
      </c>
      <c r="E47" s="59" t="s">
        <v>20</v>
      </c>
      <c r="F47" s="60">
        <v>1</v>
      </c>
      <c r="G47" s="111"/>
      <c r="H47" s="98">
        <f t="shared" si="0"/>
        <v>0</v>
      </c>
    </row>
    <row r="48" spans="1:8" s="61" customFormat="1" ht="15" customHeight="1" outlineLevel="1" x14ac:dyDescent="0.15">
      <c r="A48" s="56"/>
      <c r="B48" s="97" t="s">
        <v>18</v>
      </c>
      <c r="C48" s="57">
        <v>28</v>
      </c>
      <c r="D48" s="62" t="s">
        <v>43</v>
      </c>
      <c r="E48" s="59" t="s">
        <v>20</v>
      </c>
      <c r="F48" s="60">
        <v>1</v>
      </c>
      <c r="G48" s="111"/>
      <c r="H48" s="98">
        <f t="shared" si="0"/>
        <v>0</v>
      </c>
    </row>
    <row r="49" spans="1:8" s="61" customFormat="1" ht="15" customHeight="1" outlineLevel="1" x14ac:dyDescent="0.15">
      <c r="A49" s="56"/>
      <c r="B49" s="97" t="s">
        <v>18</v>
      </c>
      <c r="C49" s="57">
        <v>29</v>
      </c>
      <c r="D49" s="62" t="s">
        <v>30</v>
      </c>
      <c r="E49" s="59" t="s">
        <v>20</v>
      </c>
      <c r="F49" s="60">
        <v>1</v>
      </c>
      <c r="G49" s="111"/>
      <c r="H49" s="98">
        <f t="shared" si="0"/>
        <v>0</v>
      </c>
    </row>
    <row r="50" spans="1:8" s="61" customFormat="1" ht="15" customHeight="1" outlineLevel="1" x14ac:dyDescent="0.15">
      <c r="A50" s="56"/>
      <c r="B50" s="97" t="s">
        <v>18</v>
      </c>
      <c r="C50" s="57">
        <v>30</v>
      </c>
      <c r="D50" s="62" t="s">
        <v>44</v>
      </c>
      <c r="E50" s="59" t="s">
        <v>20</v>
      </c>
      <c r="F50" s="60">
        <v>1</v>
      </c>
      <c r="G50" s="111"/>
      <c r="H50" s="98">
        <f t="shared" si="0"/>
        <v>0</v>
      </c>
    </row>
    <row r="51" spans="1:8" s="61" customFormat="1" ht="15" customHeight="1" outlineLevel="1" x14ac:dyDescent="0.15">
      <c r="A51" s="56"/>
      <c r="B51" s="97" t="s">
        <v>18</v>
      </c>
      <c r="C51" s="57">
        <v>31</v>
      </c>
      <c r="D51" s="62" t="s">
        <v>30</v>
      </c>
      <c r="E51" s="59" t="s">
        <v>20</v>
      </c>
      <c r="F51" s="60">
        <v>1</v>
      </c>
      <c r="G51" s="111"/>
      <c r="H51" s="98">
        <f t="shared" si="0"/>
        <v>0</v>
      </c>
    </row>
    <row r="52" spans="1:8" s="61" customFormat="1" ht="15" customHeight="1" outlineLevel="1" x14ac:dyDescent="0.15">
      <c r="A52" s="56"/>
      <c r="B52" s="97" t="s">
        <v>18</v>
      </c>
      <c r="C52" s="57">
        <v>32</v>
      </c>
      <c r="D52" s="62" t="s">
        <v>45</v>
      </c>
      <c r="E52" s="59" t="s">
        <v>20</v>
      </c>
      <c r="F52" s="63">
        <v>1</v>
      </c>
      <c r="G52" s="111"/>
      <c r="H52" s="98">
        <f t="shared" si="0"/>
        <v>0</v>
      </c>
    </row>
    <row r="53" spans="1:8" s="61" customFormat="1" ht="15" customHeight="1" outlineLevel="1" x14ac:dyDescent="0.15">
      <c r="A53" s="56"/>
      <c r="B53" s="97" t="s">
        <v>18</v>
      </c>
      <c r="C53" s="57">
        <v>33</v>
      </c>
      <c r="D53" s="62" t="s">
        <v>46</v>
      </c>
      <c r="E53" s="59" t="s">
        <v>20</v>
      </c>
      <c r="F53" s="63">
        <v>1</v>
      </c>
      <c r="G53" s="111"/>
      <c r="H53" s="98">
        <f t="shared" si="0"/>
        <v>0</v>
      </c>
    </row>
    <row r="54" spans="1:8" s="61" customFormat="1" ht="15" customHeight="1" outlineLevel="1" x14ac:dyDescent="0.15">
      <c r="A54" s="56"/>
      <c r="B54" s="97" t="s">
        <v>18</v>
      </c>
      <c r="C54" s="57">
        <v>34</v>
      </c>
      <c r="D54" s="62" t="s">
        <v>47</v>
      </c>
      <c r="E54" s="59" t="s">
        <v>20</v>
      </c>
      <c r="F54" s="63">
        <v>1</v>
      </c>
      <c r="G54" s="111"/>
      <c r="H54" s="98">
        <f t="shared" si="0"/>
        <v>0</v>
      </c>
    </row>
    <row r="55" spans="1:8" s="61" customFormat="1" ht="15" customHeight="1" outlineLevel="1" x14ac:dyDescent="0.15">
      <c r="A55" s="56"/>
      <c r="B55" s="97" t="s">
        <v>18</v>
      </c>
      <c r="C55" s="57">
        <v>35</v>
      </c>
      <c r="D55" s="62" t="s">
        <v>48</v>
      </c>
      <c r="E55" s="59" t="s">
        <v>20</v>
      </c>
      <c r="F55" s="63">
        <v>1</v>
      </c>
      <c r="G55" s="111"/>
      <c r="H55" s="98">
        <f t="shared" si="0"/>
        <v>0</v>
      </c>
    </row>
    <row r="56" spans="1:8" s="61" customFormat="1" ht="15" customHeight="1" outlineLevel="1" x14ac:dyDescent="0.15">
      <c r="A56" s="56"/>
      <c r="B56" s="97" t="s">
        <v>18</v>
      </c>
      <c r="C56" s="57">
        <v>36</v>
      </c>
      <c r="D56" s="62" t="s">
        <v>49</v>
      </c>
      <c r="E56" s="59" t="s">
        <v>20</v>
      </c>
      <c r="F56" s="63">
        <v>1</v>
      </c>
      <c r="G56" s="111"/>
      <c r="H56" s="98">
        <f t="shared" si="0"/>
        <v>0</v>
      </c>
    </row>
    <row r="57" spans="1:8" s="61" customFormat="1" ht="15" customHeight="1" outlineLevel="1" x14ac:dyDescent="0.15">
      <c r="A57" s="56"/>
      <c r="B57" s="97" t="s">
        <v>18</v>
      </c>
      <c r="C57" s="57">
        <v>37</v>
      </c>
      <c r="D57" s="62" t="s">
        <v>50</v>
      </c>
      <c r="E57" s="59" t="s">
        <v>20</v>
      </c>
      <c r="F57" s="63">
        <v>53</v>
      </c>
      <c r="G57" s="111"/>
      <c r="H57" s="98">
        <f t="shared" si="0"/>
        <v>0</v>
      </c>
    </row>
    <row r="58" spans="1:8" s="61" customFormat="1" ht="15" customHeight="1" outlineLevel="1" x14ac:dyDescent="0.15">
      <c r="A58" s="56"/>
      <c r="B58" s="97" t="s">
        <v>18</v>
      </c>
      <c r="C58" s="57">
        <v>38</v>
      </c>
      <c r="D58" s="62" t="s">
        <v>51</v>
      </c>
      <c r="E58" s="59" t="s">
        <v>20</v>
      </c>
      <c r="F58" s="63">
        <v>24</v>
      </c>
      <c r="G58" s="111"/>
      <c r="H58" s="98">
        <f t="shared" si="0"/>
        <v>0</v>
      </c>
    </row>
    <row r="59" spans="1:8" s="61" customFormat="1" ht="15" customHeight="1" outlineLevel="1" x14ac:dyDescent="0.15">
      <c r="A59" s="56"/>
      <c r="B59" s="97" t="s">
        <v>18</v>
      </c>
      <c r="C59" s="57">
        <v>39</v>
      </c>
      <c r="D59" s="62" t="s">
        <v>52</v>
      </c>
      <c r="E59" s="59" t="s">
        <v>20</v>
      </c>
      <c r="F59" s="63">
        <v>4</v>
      </c>
      <c r="G59" s="111"/>
      <c r="H59" s="98">
        <f t="shared" si="0"/>
        <v>0</v>
      </c>
    </row>
    <row r="60" spans="1:8" s="61" customFormat="1" ht="15" customHeight="1" outlineLevel="1" x14ac:dyDescent="0.15">
      <c r="A60" s="56"/>
      <c r="B60" s="97" t="s">
        <v>18</v>
      </c>
      <c r="C60" s="57">
        <v>50</v>
      </c>
      <c r="D60" s="62" t="s">
        <v>71</v>
      </c>
      <c r="E60" s="59" t="s">
        <v>20</v>
      </c>
      <c r="F60" s="63">
        <v>2</v>
      </c>
      <c r="G60" s="111"/>
      <c r="H60" s="98">
        <f t="shared" ref="H60:H61" si="1">G60*F60</f>
        <v>0</v>
      </c>
    </row>
    <row r="61" spans="1:8" s="61" customFormat="1" ht="15" customHeight="1" outlineLevel="1" x14ac:dyDescent="0.15">
      <c r="A61" s="56"/>
      <c r="B61" s="97" t="s">
        <v>18</v>
      </c>
      <c r="C61" s="57">
        <v>51</v>
      </c>
      <c r="D61" s="62" t="s">
        <v>49</v>
      </c>
      <c r="E61" s="59" t="s">
        <v>20</v>
      </c>
      <c r="F61" s="63">
        <v>1</v>
      </c>
      <c r="G61" s="111"/>
      <c r="H61" s="98">
        <f t="shared" si="1"/>
        <v>0</v>
      </c>
    </row>
    <row r="62" spans="1:8" s="61" customFormat="1" ht="15" customHeight="1" outlineLevel="1" x14ac:dyDescent="0.15">
      <c r="A62" s="56"/>
      <c r="B62" s="97" t="s">
        <v>18</v>
      </c>
      <c r="C62" s="57">
        <v>52</v>
      </c>
      <c r="D62" s="62" t="s">
        <v>47</v>
      </c>
      <c r="E62" s="59" t="s">
        <v>20</v>
      </c>
      <c r="F62" s="63">
        <v>1</v>
      </c>
      <c r="G62" s="111"/>
      <c r="H62" s="98">
        <f t="shared" ref="H62" si="2">G62*F62</f>
        <v>0</v>
      </c>
    </row>
    <row r="63" spans="1:8" s="55" customFormat="1" ht="15" customHeight="1" x14ac:dyDescent="0.15">
      <c r="A63" s="50"/>
      <c r="B63" s="95"/>
      <c r="C63" s="51"/>
      <c r="D63" s="52" t="s">
        <v>53</v>
      </c>
      <c r="E63" s="53"/>
      <c r="F63" s="54"/>
      <c r="G63" s="110"/>
      <c r="H63" s="96" t="e">
        <f>SUM(#REF!)</f>
        <v>#REF!</v>
      </c>
    </row>
    <row r="64" spans="1:8" s="61" customFormat="1" ht="15" customHeight="1" outlineLevel="1" x14ac:dyDescent="0.15">
      <c r="A64" s="56"/>
      <c r="B64" s="97" t="s">
        <v>54</v>
      </c>
      <c r="C64" s="57">
        <v>40</v>
      </c>
      <c r="D64" s="62" t="s">
        <v>55</v>
      </c>
      <c r="E64" s="59" t="s">
        <v>20</v>
      </c>
      <c r="F64" s="60">
        <v>1</v>
      </c>
      <c r="G64" s="111"/>
      <c r="H64" s="98">
        <f t="shared" ref="H64:H66" si="3">G64*F64</f>
        <v>0</v>
      </c>
    </row>
    <row r="65" spans="1:8" s="61" customFormat="1" ht="15" customHeight="1" outlineLevel="1" x14ac:dyDescent="0.15">
      <c r="A65" s="56"/>
      <c r="B65" s="97" t="s">
        <v>54</v>
      </c>
      <c r="C65" s="57">
        <v>41</v>
      </c>
      <c r="D65" s="58" t="s">
        <v>56</v>
      </c>
      <c r="E65" s="59" t="s">
        <v>20</v>
      </c>
      <c r="F65" s="60">
        <v>1</v>
      </c>
      <c r="G65" s="111"/>
      <c r="H65" s="98">
        <f t="shared" si="3"/>
        <v>0</v>
      </c>
    </row>
    <row r="66" spans="1:8" s="61" customFormat="1" ht="15" customHeight="1" outlineLevel="1" x14ac:dyDescent="0.15">
      <c r="A66" s="56"/>
      <c r="B66" s="97" t="s">
        <v>54</v>
      </c>
      <c r="C66" s="57">
        <v>42</v>
      </c>
      <c r="D66" s="58" t="s">
        <v>57</v>
      </c>
      <c r="E66" s="59" t="s">
        <v>20</v>
      </c>
      <c r="F66" s="60">
        <v>10</v>
      </c>
      <c r="G66" s="111"/>
      <c r="H66" s="98">
        <f t="shared" si="3"/>
        <v>0</v>
      </c>
    </row>
    <row r="67" spans="1:8" s="55" customFormat="1" ht="15" customHeight="1" x14ac:dyDescent="0.15">
      <c r="A67" s="50"/>
      <c r="B67" s="95"/>
      <c r="C67" s="51"/>
      <c r="D67" s="52" t="s">
        <v>58</v>
      </c>
      <c r="E67" s="53"/>
      <c r="F67" s="54"/>
      <c r="G67" s="110"/>
      <c r="H67" s="96" t="e">
        <f>SUM(#REF!)</f>
        <v>#REF!</v>
      </c>
    </row>
    <row r="68" spans="1:8" s="61" customFormat="1" ht="15" customHeight="1" outlineLevel="1" x14ac:dyDescent="0.15">
      <c r="A68" s="56"/>
      <c r="B68" s="97" t="s">
        <v>59</v>
      </c>
      <c r="C68" s="57">
        <v>43</v>
      </c>
      <c r="D68" s="58" t="s">
        <v>60</v>
      </c>
      <c r="E68" s="59" t="s">
        <v>20</v>
      </c>
      <c r="F68" s="60">
        <v>1</v>
      </c>
      <c r="G68" s="111"/>
      <c r="H68" s="98">
        <f t="shared" ref="H68:H71" si="4">G68*F68</f>
        <v>0</v>
      </c>
    </row>
    <row r="69" spans="1:8" s="61" customFormat="1" ht="15" customHeight="1" outlineLevel="1" x14ac:dyDescent="0.15">
      <c r="A69" s="56"/>
      <c r="B69" s="97" t="s">
        <v>59</v>
      </c>
      <c r="C69" s="57">
        <v>44</v>
      </c>
      <c r="D69" s="58" t="s">
        <v>61</v>
      </c>
      <c r="E69" s="59" t="s">
        <v>20</v>
      </c>
      <c r="F69" s="60">
        <v>1</v>
      </c>
      <c r="G69" s="111"/>
      <c r="H69" s="98">
        <f t="shared" si="4"/>
        <v>0</v>
      </c>
    </row>
    <row r="70" spans="1:8" s="61" customFormat="1" ht="15" customHeight="1" outlineLevel="1" x14ac:dyDescent="0.15">
      <c r="A70" s="56"/>
      <c r="B70" s="99" t="s">
        <v>59</v>
      </c>
      <c r="C70" s="81">
        <v>45</v>
      </c>
      <c r="D70" s="82" t="s">
        <v>62</v>
      </c>
      <c r="E70" s="83" t="s">
        <v>20</v>
      </c>
      <c r="F70" s="84">
        <v>1</v>
      </c>
      <c r="G70" s="80"/>
      <c r="H70" s="100">
        <f t="shared" si="4"/>
        <v>0</v>
      </c>
    </row>
    <row r="71" spans="1:8" s="61" customFormat="1" ht="15" customHeight="1" outlineLevel="1" x14ac:dyDescent="0.15">
      <c r="A71" s="56"/>
      <c r="B71" s="101" t="s">
        <v>59</v>
      </c>
      <c r="C71" s="85">
        <v>46</v>
      </c>
      <c r="D71" s="86" t="s">
        <v>62</v>
      </c>
      <c r="E71" s="87" t="s">
        <v>20</v>
      </c>
      <c r="F71" s="88">
        <v>1</v>
      </c>
      <c r="G71" s="112"/>
      <c r="H71" s="115">
        <f t="shared" si="4"/>
        <v>0</v>
      </c>
    </row>
    <row r="72" spans="1:8" s="61" customFormat="1" ht="15" customHeight="1" outlineLevel="1" x14ac:dyDescent="0.15">
      <c r="A72" s="56"/>
      <c r="B72" s="101" t="s">
        <v>59</v>
      </c>
      <c r="C72" s="85">
        <v>47</v>
      </c>
      <c r="D72" s="86" t="s">
        <v>63</v>
      </c>
      <c r="E72" s="87" t="s">
        <v>20</v>
      </c>
      <c r="F72" s="88">
        <v>20</v>
      </c>
      <c r="G72" s="112"/>
      <c r="H72" s="115">
        <v>0</v>
      </c>
    </row>
    <row r="73" spans="1:8" s="61" customFormat="1" ht="16" outlineLevel="1" x14ac:dyDescent="0.15">
      <c r="A73" s="56"/>
      <c r="B73" s="101" t="s">
        <v>59</v>
      </c>
      <c r="C73" s="85">
        <v>48</v>
      </c>
      <c r="D73" s="86" t="s">
        <v>69</v>
      </c>
      <c r="E73" s="87" t="s">
        <v>20</v>
      </c>
      <c r="F73" s="88">
        <v>4</v>
      </c>
      <c r="G73" s="112"/>
      <c r="H73" s="115">
        <f t="shared" ref="H73" si="5">G73*F73</f>
        <v>0</v>
      </c>
    </row>
    <row r="74" spans="1:8" s="61" customFormat="1" ht="17" outlineLevel="1" thickBot="1" x14ac:dyDescent="0.2">
      <c r="A74" s="56"/>
      <c r="B74" s="102" t="s">
        <v>59</v>
      </c>
      <c r="C74" s="103">
        <v>49</v>
      </c>
      <c r="D74" s="104" t="s">
        <v>70</v>
      </c>
      <c r="E74" s="105" t="s">
        <v>20</v>
      </c>
      <c r="F74" s="106">
        <v>3</v>
      </c>
      <c r="G74" s="113"/>
      <c r="H74" s="107">
        <f t="shared" ref="H74" si="6">G74*F74</f>
        <v>0</v>
      </c>
    </row>
    <row r="75" spans="1:8" s="45" customFormat="1" ht="14" customHeight="1" thickBot="1" x14ac:dyDescent="0.2">
      <c r="B75" s="64"/>
      <c r="C75" s="65"/>
      <c r="D75" s="64"/>
      <c r="E75" s="64"/>
      <c r="F75" s="64"/>
      <c r="G75" s="64"/>
      <c r="H75" s="64"/>
    </row>
    <row r="76" spans="1:8" ht="19" thickBot="1" x14ac:dyDescent="0.2">
      <c r="D76" s="119" t="s">
        <v>64</v>
      </c>
      <c r="E76" s="120"/>
      <c r="F76" s="120"/>
      <c r="G76" s="120"/>
      <c r="H76" s="68" t="e">
        <f>H19+#REF!</f>
        <v>#REF!</v>
      </c>
    </row>
    <row r="77" spans="1:8" ht="16" x14ac:dyDescent="0.2">
      <c r="D77" s="121" t="s">
        <v>65</v>
      </c>
      <c r="E77" s="122"/>
      <c r="F77" s="122"/>
      <c r="G77" s="69">
        <v>0.1</v>
      </c>
      <c r="H77" s="70" t="e">
        <f>H76*G77</f>
        <v>#REF!</v>
      </c>
    </row>
    <row r="78" spans="1:8" ht="17" thickBot="1" x14ac:dyDescent="0.2">
      <c r="D78" s="123" t="s">
        <v>66</v>
      </c>
      <c r="E78" s="124"/>
      <c r="F78" s="124"/>
      <c r="G78" s="124"/>
      <c r="H78" s="71" t="e">
        <f>H76-H77</f>
        <v>#REF!</v>
      </c>
    </row>
    <row r="79" spans="1:8" ht="17" thickBot="1" x14ac:dyDescent="0.25">
      <c r="D79" s="125" t="s">
        <v>67</v>
      </c>
      <c r="E79" s="126"/>
      <c r="F79" s="126"/>
      <c r="G79" s="72">
        <v>0.19</v>
      </c>
      <c r="H79" s="73" t="e">
        <f>H78*G79</f>
        <v>#REF!</v>
      </c>
    </row>
    <row r="80" spans="1:8" ht="19" thickBot="1" x14ac:dyDescent="0.2">
      <c r="D80" s="116" t="s">
        <v>68</v>
      </c>
      <c r="E80" s="117"/>
      <c r="F80" s="117"/>
      <c r="G80" s="117"/>
      <c r="H80" s="74" t="e">
        <f>H78+H79</f>
        <v>#REF!</v>
      </c>
    </row>
  </sheetData>
  <mergeCells count="6">
    <mergeCell ref="D80:G80"/>
    <mergeCell ref="G17:H17"/>
    <mergeCell ref="D76:G76"/>
    <mergeCell ref="D77:F77"/>
    <mergeCell ref="D78:G78"/>
    <mergeCell ref="D79:F79"/>
  </mergeCells>
  <phoneticPr fontId="19" type="noConversion"/>
  <printOptions horizontalCentered="1"/>
  <pageMargins left="0.2" right="0.2" top="0.91" bottom="0.39" header="0" footer="0"/>
  <pageSetup scale="46" fitToHeight="12" orientation="portrait" horizontalDpi="360" verticalDpi="36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SEGÚN PLANOS P PPTO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2020-01-29T19:35:49Z</dcterms:created>
  <dcterms:modified xsi:type="dcterms:W3CDTF">2020-02-06T12:36:57Z</dcterms:modified>
</cp:coreProperties>
</file>