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 Ohffice 2\Desktop\OHFFICE\PROYECTOS\ADIDAS\"/>
    </mc:Choice>
  </mc:AlternateContent>
  <xr:revisionPtr revIDLastSave="0" documentId="13_ncr:1_{AA53C3DF-24FD-429E-BEDE-B1B9CC423FD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VELO LIGHT" sheetId="8" r:id="rId1"/>
    <sheet name="NEWNET" sheetId="7" r:id="rId2"/>
    <sheet name="AIR" sheetId="6" r:id="rId3"/>
  </sheets>
  <definedNames>
    <definedName name="_xlnm.Print_Area" localSheetId="2">AIR!$B$2:$G$51</definedName>
    <definedName name="_xlnm.Print_Area" localSheetId="1">NEWNET!$B$2:$G$51</definedName>
    <definedName name="_xlnm.Print_Area" localSheetId="0">'VELO LIGHT'!$B$2:$G$51</definedName>
  </definedNames>
  <calcPr calcId="191029"/>
</workbook>
</file>

<file path=xl/calcChain.xml><?xml version="1.0" encoding="utf-8"?>
<calcChain xmlns="http://schemas.openxmlformats.org/spreadsheetml/2006/main">
  <c r="G18" i="8" l="1"/>
  <c r="G19" i="8" s="1"/>
  <c r="G22" i="8" s="1"/>
  <c r="G18" i="7"/>
  <c r="G19" i="7" s="1"/>
  <c r="G22" i="7" s="1"/>
  <c r="G18" i="6"/>
  <c r="G19" i="6" s="1"/>
  <c r="G22" i="6" s="1"/>
  <c r="G23" i="8" l="1"/>
  <c r="G24" i="8" s="1"/>
  <c r="G27" i="8" s="1"/>
  <c r="G23" i="7"/>
  <c r="G24" i="7" s="1"/>
  <c r="G27" i="7" s="1"/>
  <c r="G23" i="6"/>
  <c r="G24" i="6"/>
  <c r="G28" i="8" l="1"/>
  <c r="G29" i="8" s="1"/>
  <c r="G28" i="7"/>
  <c r="G29" i="7" s="1"/>
  <c r="G27" i="6"/>
  <c r="G28" i="6" s="1"/>
  <c r="G29" i="6" s="1"/>
</calcChain>
</file>

<file path=xl/sharedStrings.xml><?xml version="1.0" encoding="utf-8"?>
<sst xmlns="http://schemas.openxmlformats.org/spreadsheetml/2006/main" count="150" uniqueCount="50">
  <si>
    <t>PROYECTO:</t>
  </si>
  <si>
    <t>CLIENTE:</t>
  </si>
  <si>
    <t>AVDA DEL PARQUE  5275 OF.104</t>
  </si>
  <si>
    <t>DIRECCION:</t>
  </si>
  <si>
    <t>TELEFONO 222482880</t>
  </si>
  <si>
    <t>ATENCION</t>
  </si>
  <si>
    <t>www.ohffice.cl</t>
  </si>
  <si>
    <t>FECHA:</t>
  </si>
  <si>
    <t>N°</t>
  </si>
  <si>
    <t>CÓDIGO</t>
  </si>
  <si>
    <t>DESCRIPCIÓN</t>
  </si>
  <si>
    <t>CANTIDAD</t>
  </si>
  <si>
    <t>TOTAL ($)</t>
  </si>
  <si>
    <t>TOTAL</t>
  </si>
  <si>
    <t>NETO</t>
  </si>
  <si>
    <t>Atte.</t>
  </si>
  <si>
    <t>OHFFICE SpA</t>
  </si>
  <si>
    <t>Av del Parque N° 5275, Of # 104, Huechuraba, Santiago</t>
  </si>
  <si>
    <t>Rut: 77.570.810-7</t>
  </si>
  <si>
    <t>Giro: Mobiliario de Oficina.</t>
  </si>
  <si>
    <t>Web: www.ohffice.cl</t>
  </si>
  <si>
    <t>IVA</t>
  </si>
  <si>
    <t>Paola Yanquez Castellanos</t>
  </si>
  <si>
    <t>Cel.: 961116599</t>
  </si>
  <si>
    <t>e-mail: paola.yanquez@ohffice.cl</t>
  </si>
  <si>
    <t>Teléfono: 02-2-2482880, Cel: 961116599</t>
  </si>
  <si>
    <t>ESTA COTIZACION TIENE 10 DIAS DE VALIDEZ</t>
  </si>
  <si>
    <t>FORMA DE PAGO 
PROYECTOS</t>
  </si>
  <si>
    <t>50% ANTICIPO</t>
  </si>
  <si>
    <t>40% PREVIO AL DESPACHO</t>
  </si>
  <si>
    <t xml:space="preserve">10% RECEPCIÓN FINAL </t>
  </si>
  <si>
    <t>PROYECTOS CON SOLO 
SILLAS</t>
  </si>
  <si>
    <t xml:space="preserve">50% RECEPCIÓN FINAL </t>
  </si>
  <si>
    <t>COTIZACION SILLAS</t>
  </si>
  <si>
    <t>ADIDAS</t>
  </si>
  <si>
    <t>Valentina Sadarangani</t>
  </si>
  <si>
    <t>CONSIDERESE 40 DIAS DE IMPORTACION</t>
  </si>
  <si>
    <t>CONSIEDRESE 6 AÑOS DE GARANTIA POR DEFECTO DE FABRICA</t>
  </si>
  <si>
    <t>USD</t>
  </si>
  <si>
    <t>TOTAL FINAL</t>
  </si>
  <si>
    <t>FLETE</t>
  </si>
  <si>
    <t>INSTALACION</t>
  </si>
  <si>
    <t>DESCUENTO 20%</t>
  </si>
  <si>
    <t>COTIZACION SILLAS EJECUTIVAS</t>
  </si>
  <si>
    <t>PG2712223.091</t>
  </si>
  <si>
    <t>SILLA AIR (27001)_SINCRO_BRAZO SL_BASE NYLON_(POL)</t>
  </si>
  <si>
    <t>CG1600374.046</t>
  </si>
  <si>
    <t>SILLA NEWNET(16003)_MECANISMO SRE_BASE NYLON_BRAZO SL_NEGRO</t>
  </si>
  <si>
    <t>PG4211615.046</t>
  </si>
  <si>
    <t>SILLA VELO LIGHT_SINCRO_ESTR.NEGRA_RESP NEGRO_ASTO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</si>
</sst>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&quot;$&quot;\ #,##0"/>
    <numFmt numFmtId="166" formatCode="_-&quot;$&quot;* #,##0_-;\-&quot;$&quot;* #,##0_-;_-&quot;$&quot;* &quot;-&quot;_-;_-@_-"/>
    <numFmt numFmtId="167" formatCode="dd/mm/yyyy;@"/>
    <numFmt numFmtId="168" formatCode="_ [$$-340A]* #,##0_ ;_ [$$-340A]* \-#,##0_ ;_ [$$-340A]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u/>
      <sz val="10"/>
      <color theme="10"/>
      <name val="Calibri Light"/>
      <family val="2"/>
    </font>
    <font>
      <sz val="10"/>
      <name val="Calibri Light"/>
      <family val="2"/>
    </font>
    <font>
      <sz val="18"/>
      <color theme="1"/>
      <name val="Calibri Light"/>
      <family val="2"/>
    </font>
    <font>
      <b/>
      <sz val="11"/>
      <color theme="1"/>
      <name val="Calibri"/>
      <family val="2"/>
      <scheme val="minor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165" fontId="5" fillId="3" borderId="3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165" fontId="4" fillId="3" borderId="3" xfId="0" applyNumberFormat="1" applyFont="1" applyFill="1" applyBorder="1" applyAlignment="1">
      <alignment vertical="center"/>
    </xf>
    <xf numFmtId="15" fontId="5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7" fillId="2" borderId="8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4" fillId="2" borderId="9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5" fillId="3" borderId="10" xfId="0" applyFont="1" applyFill="1" applyBorder="1" applyAlignment="1">
      <alignment vertical="center"/>
    </xf>
    <xf numFmtId="0" fontId="3" fillId="2" borderId="10" xfId="0" applyFont="1" applyFill="1" applyBorder="1"/>
    <xf numFmtId="0" fontId="3" fillId="2" borderId="11" xfId="0" applyFont="1" applyFill="1" applyBorder="1"/>
    <xf numFmtId="15" fontId="5" fillId="3" borderId="5" xfId="0" applyNumberFormat="1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 vertical="center"/>
    </xf>
    <xf numFmtId="167" fontId="10" fillId="5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5" fontId="10" fillId="5" borderId="4" xfId="0" applyNumberFormat="1" applyFont="1" applyFill="1" applyBorder="1" applyAlignment="1">
      <alignment horizontal="center" vertical="center"/>
    </xf>
    <xf numFmtId="165" fontId="10" fillId="2" borderId="4" xfId="1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5" fontId="10" fillId="2" borderId="0" xfId="1" applyNumberFormat="1" applyFont="1" applyFill="1" applyBorder="1" applyAlignment="1">
      <alignment horizontal="right" vertical="center"/>
    </xf>
    <xf numFmtId="168" fontId="12" fillId="0" borderId="4" xfId="0" applyNumberFormat="1" applyFont="1" applyBorder="1"/>
    <xf numFmtId="0" fontId="15" fillId="0" borderId="4" xfId="0" applyFont="1" applyBorder="1"/>
    <xf numFmtId="0" fontId="15" fillId="7" borderId="4" xfId="0" applyFont="1" applyFill="1" applyBorder="1"/>
    <xf numFmtId="168" fontId="12" fillId="7" borderId="4" xfId="0" applyNumberFormat="1" applyFont="1" applyFill="1" applyBorder="1"/>
    <xf numFmtId="0" fontId="7" fillId="2" borderId="8" xfId="0" applyFont="1" applyFill="1" applyBorder="1" applyAlignment="1">
      <alignment horizontal="center" vertical="top"/>
    </xf>
    <xf numFmtId="1" fontId="11" fillId="2" borderId="4" xfId="0" applyNumberFormat="1" applyFont="1" applyFill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6" borderId="12" xfId="0" applyFont="1" applyFill="1" applyBorder="1" applyAlignment="1">
      <alignment vertical="top" wrapText="1"/>
    </xf>
    <xf numFmtId="0" fontId="14" fillId="2" borderId="12" xfId="0" applyFont="1" applyFill="1" applyBorder="1" applyAlignment="1">
      <alignment horizontal="center" vertical="top"/>
    </xf>
    <xf numFmtId="168" fontId="14" fillId="2" borderId="4" xfId="1" applyNumberFormat="1" applyFont="1" applyFill="1" applyBorder="1" applyAlignment="1">
      <alignment horizontal="right" vertical="top"/>
    </xf>
    <xf numFmtId="168" fontId="11" fillId="2" borderId="4" xfId="1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2" borderId="0" xfId="0" applyFill="1"/>
    <xf numFmtId="0" fontId="0" fillId="2" borderId="0" xfId="0" applyFill="1" applyAlignment="1">
      <alignment vertical="top"/>
    </xf>
    <xf numFmtId="165" fontId="0" fillId="2" borderId="0" xfId="0" applyNumberFormat="1" applyFill="1"/>
    <xf numFmtId="0" fontId="0" fillId="2" borderId="23" xfId="0" applyFill="1" applyBorder="1"/>
    <xf numFmtId="0" fontId="0" fillId="2" borderId="12" xfId="0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9" fillId="2" borderId="22" xfId="0" applyFont="1" applyFill="1" applyBorder="1"/>
    <xf numFmtId="0" fontId="5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2" borderId="22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wrapText="1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9"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75BE38-F8D7-4EA7-93C4-8D3FB6188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17</xdr:row>
      <xdr:rowOff>609600</xdr:rowOff>
    </xdr:from>
    <xdr:to>
      <xdr:col>2</xdr:col>
      <xdr:colOff>1209084</xdr:colOff>
      <xdr:row>17</xdr:row>
      <xdr:rowOff>2248460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C026BC-88E0-33A0-674A-AF28FDE8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26" y="3981450"/>
          <a:ext cx="1047158" cy="1638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D0CA3E-292C-43A3-8CF2-C6B722BA2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17</xdr:row>
      <xdr:rowOff>542925</xdr:rowOff>
    </xdr:from>
    <xdr:to>
      <xdr:col>2</xdr:col>
      <xdr:colOff>1277399</xdr:colOff>
      <xdr:row>17</xdr:row>
      <xdr:rowOff>2353227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424EFC-02B4-2DA9-512C-34D6D472E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3914775"/>
          <a:ext cx="1182149" cy="1810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1360A2-D425-40F6-BBA6-D8CEEA3D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17</xdr:row>
      <xdr:rowOff>533400</xdr:rowOff>
    </xdr:from>
    <xdr:to>
      <xdr:col>2</xdr:col>
      <xdr:colOff>1248006</xdr:colOff>
      <xdr:row>17</xdr:row>
      <xdr:rowOff>2286608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8EB4A6-61E0-5FCD-95A0-77AB4CFB6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6376" y="3905250"/>
          <a:ext cx="1143230" cy="1753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hffic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ohffic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hffic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894B-43AC-4777-8E95-3837D0F9615E}">
  <sheetPr>
    <pageSetUpPr fitToPage="1"/>
  </sheetPr>
  <dimension ref="A1:Y185"/>
  <sheetViews>
    <sheetView topLeftCell="A21" workbookViewId="0">
      <selection activeCell="G35" sqref="G35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43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38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48</v>
      </c>
      <c r="D18" s="50" t="s">
        <v>49</v>
      </c>
      <c r="E18" s="51">
        <v>120</v>
      </c>
      <c r="F18" s="52">
        <v>291</v>
      </c>
      <c r="G18" s="53">
        <f t="shared" ref="G18" si="0">+F18*E18</f>
        <v>34920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34920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36</v>
      </c>
      <c r="C22" s="67"/>
      <c r="D22" s="68"/>
      <c r="E22" s="55"/>
      <c r="F22" s="45" t="s">
        <v>13</v>
      </c>
      <c r="G22" s="46">
        <f>G19</f>
        <v>34920</v>
      </c>
    </row>
    <row r="23" spans="1:25" ht="15.75" x14ac:dyDescent="0.25">
      <c r="A23" s="55"/>
      <c r="B23" s="69" t="s">
        <v>37</v>
      </c>
      <c r="C23" s="70"/>
      <c r="D23" s="71"/>
      <c r="E23" s="55"/>
      <c r="F23" s="44" t="s">
        <v>42</v>
      </c>
      <c r="G23" s="43">
        <f>G22*20%</f>
        <v>6984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39</v>
      </c>
      <c r="G24" s="43">
        <f>G22-G23</f>
        <v>27936</v>
      </c>
    </row>
    <row r="25" spans="1:25" ht="15.75" x14ac:dyDescent="0.25">
      <c r="A25" s="55"/>
      <c r="B25" s="55"/>
      <c r="C25" s="55"/>
      <c r="D25" s="55"/>
      <c r="E25" s="55"/>
      <c r="F25" s="44" t="s">
        <v>40</v>
      </c>
      <c r="G25" s="43">
        <v>320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41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28256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5368.64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33624.639999999999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8" priority="1" stopIfTrue="1" operator="equal">
      <formula>"a"</formula>
    </cfRule>
    <cfRule type="cellIs" dxfId="7" priority="2" stopIfTrue="1" operator="equal">
      <formula>"P"</formula>
    </cfRule>
    <cfRule type="cellIs" dxfId="6" priority="3" stopIfTrue="1" operator="equal">
      <formula>"I"</formula>
    </cfRule>
  </conditionalFormatting>
  <hyperlinks>
    <hyperlink ref="F8" r:id="rId1" display="http://www.ohffice.cl/" xr:uid="{43B9E752-5EC5-4CE1-AFA4-7FF25E2FD603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F5D1-AE2C-412F-95BF-4B5621DB777E}">
  <sheetPr>
    <pageSetUpPr fitToPage="1"/>
  </sheetPr>
  <dimension ref="A1:Y185"/>
  <sheetViews>
    <sheetView topLeftCell="A21" workbookViewId="0">
      <selection activeCell="H25" sqref="H25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43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38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46</v>
      </c>
      <c r="D18" s="50" t="s">
        <v>47</v>
      </c>
      <c r="E18" s="51">
        <v>120</v>
      </c>
      <c r="F18" s="52">
        <v>244</v>
      </c>
      <c r="G18" s="53">
        <f t="shared" ref="G18" si="0">+F18*E18</f>
        <v>29280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29280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36</v>
      </c>
      <c r="C22" s="67"/>
      <c r="D22" s="68"/>
      <c r="E22" s="55"/>
      <c r="F22" s="45" t="s">
        <v>13</v>
      </c>
      <c r="G22" s="46">
        <f>G19</f>
        <v>29280</v>
      </c>
    </row>
    <row r="23" spans="1:25" ht="15.75" x14ac:dyDescent="0.25">
      <c r="A23" s="55"/>
      <c r="B23" s="69" t="s">
        <v>37</v>
      </c>
      <c r="C23" s="70"/>
      <c r="D23" s="71"/>
      <c r="E23" s="55"/>
      <c r="F23" s="44" t="s">
        <v>42</v>
      </c>
      <c r="G23" s="43">
        <f>G22*20%</f>
        <v>5856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39</v>
      </c>
      <c r="G24" s="43">
        <f>G22-G23</f>
        <v>23424</v>
      </c>
    </row>
    <row r="25" spans="1:25" ht="15.75" x14ac:dyDescent="0.25">
      <c r="A25" s="55"/>
      <c r="B25" s="55"/>
      <c r="C25" s="55"/>
      <c r="D25" s="55"/>
      <c r="E25" s="55"/>
      <c r="F25" s="44" t="s">
        <v>40</v>
      </c>
      <c r="G25" s="43">
        <v>320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41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23744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4511.3599999999997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28255.360000000001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5" priority="1" stopIfTrue="1" operator="equal">
      <formula>"a"</formula>
    </cfRule>
    <cfRule type="cellIs" dxfId="4" priority="2" stopIfTrue="1" operator="equal">
      <formula>"P"</formula>
    </cfRule>
    <cfRule type="cellIs" dxfId="3" priority="3" stopIfTrue="1" operator="equal">
      <formula>"I"</formula>
    </cfRule>
  </conditionalFormatting>
  <hyperlinks>
    <hyperlink ref="F8" r:id="rId1" display="http://www.ohffice.cl/" xr:uid="{FD7BF5B7-44B2-4607-B4A5-2296E5DE180E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2A60-C49D-4B7B-BCAB-E7EA5539502B}">
  <sheetPr>
    <pageSetUpPr fitToPage="1"/>
  </sheetPr>
  <dimension ref="A1:Y185"/>
  <sheetViews>
    <sheetView tabSelected="1" topLeftCell="A18" workbookViewId="0">
      <selection activeCell="H25" sqref="H25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43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38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44</v>
      </c>
      <c r="D18" s="50" t="s">
        <v>45</v>
      </c>
      <c r="E18" s="51">
        <v>120</v>
      </c>
      <c r="F18" s="52">
        <v>367</v>
      </c>
      <c r="G18" s="53">
        <f t="shared" ref="G18" si="0">+F18*E18</f>
        <v>44040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44040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36</v>
      </c>
      <c r="C22" s="67"/>
      <c r="D22" s="68"/>
      <c r="E22" s="55"/>
      <c r="F22" s="45" t="s">
        <v>13</v>
      </c>
      <c r="G22" s="46">
        <f>G19</f>
        <v>44040</v>
      </c>
    </row>
    <row r="23" spans="1:25" ht="15.75" x14ac:dyDescent="0.25">
      <c r="A23" s="55"/>
      <c r="B23" s="69" t="s">
        <v>37</v>
      </c>
      <c r="C23" s="70"/>
      <c r="D23" s="71"/>
      <c r="E23" s="55"/>
      <c r="F23" s="44" t="s">
        <v>42</v>
      </c>
      <c r="G23" s="43">
        <f>G22*20%</f>
        <v>8808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39</v>
      </c>
      <c r="G24" s="43">
        <f>G22-G23</f>
        <v>35232</v>
      </c>
    </row>
    <row r="25" spans="1:25" ht="15.75" x14ac:dyDescent="0.25">
      <c r="A25" s="55"/>
      <c r="B25" s="55"/>
      <c r="C25" s="55"/>
      <c r="D25" s="55"/>
      <c r="E25" s="55"/>
      <c r="F25" s="44" t="s">
        <v>40</v>
      </c>
      <c r="G25" s="43">
        <v>320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41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35552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6754.88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42306.879999999997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2" priority="1" stopIfTrue="1" operator="equal">
      <formula>"a"</formula>
    </cfRule>
    <cfRule type="cellIs" dxfId="1" priority="2" stopIfTrue="1" operator="equal">
      <formula>"P"</formula>
    </cfRule>
    <cfRule type="cellIs" dxfId="0" priority="3" stopIfTrue="1" operator="equal">
      <formula>"I"</formula>
    </cfRule>
  </conditionalFormatting>
  <hyperlinks>
    <hyperlink ref="F8" r:id="rId1" display="http://www.ohffice.cl/" xr:uid="{CCC74B26-203F-48A4-8611-2FA3D91F68AC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VELO LIGHT</vt:lpstr>
      <vt:lpstr>NEWNET</vt:lpstr>
      <vt:lpstr>AIR</vt:lpstr>
      <vt:lpstr>AIR!Área_de_impresión</vt:lpstr>
      <vt:lpstr>NEWNET!Área_de_impresión</vt:lpstr>
      <vt:lpstr>'VELO LIGHT'!Área_de_impresión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Esparza</dc:creator>
  <cp:keywords/>
  <dc:description/>
  <cp:lastModifiedBy>Ventas Ohffice 2</cp:lastModifiedBy>
  <cp:revision/>
  <cp:lastPrinted>2022-06-28T13:35:16Z</cp:lastPrinted>
  <dcterms:created xsi:type="dcterms:W3CDTF">2021-07-29T16:15:32Z</dcterms:created>
  <dcterms:modified xsi:type="dcterms:W3CDTF">2024-07-10T18:58:03Z</dcterms:modified>
  <cp:category/>
  <cp:contentStatus/>
</cp:coreProperties>
</file>