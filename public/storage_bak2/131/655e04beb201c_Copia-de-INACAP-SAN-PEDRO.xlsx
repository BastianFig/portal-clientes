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miguel\Documents\JAIME GONZALEZ\"/>
    </mc:Choice>
  </mc:AlternateContent>
  <bookViews>
    <workbookView xWindow="0" yWindow="0" windowWidth="20325" windowHeight="9630" activeTab="1"/>
  </bookViews>
  <sheets>
    <sheet name="Hoja1" sheetId="1" r:id="rId1"/>
    <sheet name="Hoja2" sheetId="2" r:id="rId2"/>
  </sheets>
  <definedNames>
    <definedName name="_xlnm._FilterDatabase" localSheetId="0" hidden="1">Hoja1!$A$7:$N$39</definedName>
    <definedName name="_xlnm.Print_Area" localSheetId="0">Hoja1!$A$2:$O$39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M10" i="2" l="1"/>
  <c r="M12" i="2"/>
  <c r="M13" i="2"/>
  <c r="M14" i="2"/>
  <c r="M15" i="2"/>
  <c r="M16" i="2"/>
  <c r="M17" i="2"/>
  <c r="M18" i="2"/>
  <c r="M19" i="2"/>
  <c r="M20" i="2"/>
  <c r="M21" i="2"/>
  <c r="M22" i="2"/>
  <c r="M23" i="2"/>
  <c r="M24" i="2"/>
  <c r="M25" i="2"/>
  <c r="M26" i="2"/>
  <c r="M27" i="2"/>
  <c r="M28" i="2"/>
  <c r="M29" i="2"/>
  <c r="M30" i="2"/>
  <c r="M31" i="2"/>
  <c r="M32" i="2"/>
  <c r="M33" i="2"/>
  <c r="M34" i="2"/>
  <c r="M35" i="2"/>
  <c r="M36" i="2"/>
  <c r="M37" i="2"/>
  <c r="M38" i="2"/>
  <c r="M9" i="2"/>
  <c r="M13" i="1" l="1"/>
  <c r="M14" i="1"/>
  <c r="M17" i="1"/>
  <c r="M21" i="1"/>
  <c r="M22" i="1"/>
  <c r="M24" i="1"/>
  <c r="M26" i="1"/>
  <c r="M27" i="1"/>
  <c r="M28" i="1"/>
  <c r="M29" i="1"/>
  <c r="M30" i="1"/>
  <c r="M31" i="1"/>
  <c r="M32" i="1"/>
  <c r="M33" i="1"/>
  <c r="M34" i="1"/>
</calcChain>
</file>

<file path=xl/sharedStrings.xml><?xml version="1.0" encoding="utf-8"?>
<sst xmlns="http://schemas.openxmlformats.org/spreadsheetml/2006/main" count="266" uniqueCount="131">
  <si>
    <t>NV 1209</t>
  </si>
  <si>
    <t>NV 1210</t>
  </si>
  <si>
    <t>NV 1211</t>
  </si>
  <si>
    <t>NV 1212</t>
  </si>
  <si>
    <t>NV 1213</t>
  </si>
  <si>
    <t>NV 1214</t>
  </si>
  <si>
    <t>NV 1215</t>
  </si>
  <si>
    <t>NV 1216</t>
  </si>
  <si>
    <t>NV 1217</t>
  </si>
  <si>
    <t>NV 1218</t>
  </si>
  <si>
    <t>TOTAL</t>
  </si>
  <si>
    <t>SB3650503.133</t>
  </si>
  <si>
    <t>SOFA TALK CANTO_ (VNL) GRIS</t>
  </si>
  <si>
    <t>SB3650502.130</t>
  </si>
  <si>
    <t>SOFA TALK CENTRAL _ (VNL) ROJO</t>
  </si>
  <si>
    <t>SB3650502.124</t>
  </si>
  <si>
    <t>SOFA TALK CENTRAL_ (VNL) AMARILLO</t>
  </si>
  <si>
    <t>SB3650507.127</t>
  </si>
  <si>
    <t>SOFA TALK BANCO_ (VNL) AZUL MARINO</t>
  </si>
  <si>
    <t>SB3650507.191</t>
  </si>
  <si>
    <t>SOFA TALK BANCO_(VNL) VERDE OLIVA</t>
  </si>
  <si>
    <t>SB0900018.127</t>
  </si>
  <si>
    <t>POUF FUN CUADRADO_ 45*45CM_ (VNL) AZUL</t>
  </si>
  <si>
    <t>SB3650502.127</t>
  </si>
  <si>
    <t>SOFA TALK CENTRAL_ (VNL) AZUL MARINO</t>
  </si>
  <si>
    <t>SB3650502.133</t>
  </si>
  <si>
    <t>SOFA TALK CENTRAL _ (VNL) GRIS</t>
  </si>
  <si>
    <t>SB3650507.133</t>
  </si>
  <si>
    <t>SOFA TALK BANCO_ (VNL) GRIS</t>
  </si>
  <si>
    <t>SB0900018.191</t>
  </si>
  <si>
    <t>POUF FUN CUADRADO_ 45*45CM_ (VNL) VERDE OLIVA</t>
  </si>
  <si>
    <t>SB3650507.130</t>
  </si>
  <si>
    <t>SOFA TALK BANCO_ (VNL) ROJO</t>
  </si>
  <si>
    <t>SB1402002.998</t>
  </si>
  <si>
    <t>TABURETE FUN (14020)_ ASIENTO/ RESP MADERA</t>
  </si>
  <si>
    <t>SB3650503.130</t>
  </si>
  <si>
    <t>SOFA TALK CANTO_ (VNL) ROJO</t>
  </si>
  <si>
    <t>SB3650502.191</t>
  </si>
  <si>
    <t>SOFA TALK CENTRAL_(VNL) VERDE OLIVA</t>
  </si>
  <si>
    <t>SB0900018.130</t>
  </si>
  <si>
    <t>POUF FUN CUADRADO_ 45*45CM_ (VNL) ROJO</t>
  </si>
  <si>
    <t>SB0900018.124</t>
  </si>
  <si>
    <t>POUF FUN CUADRADO_ 45*45CM_ (VNL) AMARILLO</t>
  </si>
  <si>
    <t>H5150R-8</t>
  </si>
  <si>
    <t>SOFA BOSTON RECTANGULAR 2C_ PU PISTACHO</t>
  </si>
  <si>
    <t>H5150-10</t>
  </si>
  <si>
    <t>SOFA BOSTON TRIANGULAR_ 1C_ PU ROJO</t>
  </si>
  <si>
    <t>SB0900018.133</t>
  </si>
  <si>
    <t>POUF FUN CUADRADO_ 45*45CM_ (VNL) GRIS</t>
  </si>
  <si>
    <t>H5150R-9</t>
  </si>
  <si>
    <t>SOFA BOSTON RECTANGULAR 2C_ PU VIOLETA</t>
  </si>
  <si>
    <t>H5150-7</t>
  </si>
  <si>
    <t>SOFA BOSTON TRIANGULAR_ 1C_ PU GRIS</t>
  </si>
  <si>
    <t>H5150-1</t>
  </si>
  <si>
    <t>SOFA BOSTON TRIANGULAR, 1C, PU CAFE</t>
  </si>
  <si>
    <t>OH1246</t>
  </si>
  <si>
    <t>MESA APOYO COWORK 60*60*45</t>
  </si>
  <si>
    <t>GD 5943</t>
  </si>
  <si>
    <t>GD 5944</t>
  </si>
  <si>
    <t>GD 5945</t>
  </si>
  <si>
    <t>GD 5946</t>
  </si>
  <si>
    <t>GD 5947</t>
  </si>
  <si>
    <t>GD 5948</t>
  </si>
  <si>
    <t>GD 5949</t>
  </si>
  <si>
    <t>GD 5950</t>
  </si>
  <si>
    <t>GD 5951</t>
  </si>
  <si>
    <t>GD 5952</t>
  </si>
  <si>
    <t>OH1174</t>
  </si>
  <si>
    <t>TOTEM ALIMENTACION ELECTRICA C</t>
  </si>
  <si>
    <t>OH3037</t>
  </si>
  <si>
    <t>MESA COWORK ALTA 120*80*90 PF 7030</t>
  </si>
  <si>
    <t>OH3038</t>
  </si>
  <si>
    <t>MESA COWORK BAJA 140*80*75 PF 7030</t>
  </si>
  <si>
    <t>OH1234</t>
  </si>
  <si>
    <t>MESA COWORK D100H100</t>
  </si>
  <si>
    <t>STOCK</t>
  </si>
  <si>
    <t>OK</t>
  </si>
  <si>
    <t>PENDIENTE</t>
  </si>
  <si>
    <t>BODEGA</t>
  </si>
  <si>
    <t>SHOWROOM</t>
  </si>
  <si>
    <t>S/STOCK</t>
  </si>
  <si>
    <t>ILESA</t>
  </si>
  <si>
    <t>PENDIENTES</t>
  </si>
  <si>
    <t>SIN CAJAS</t>
  </si>
  <si>
    <t>CUMPLO</t>
  </si>
  <si>
    <t>SOLO  3</t>
  </si>
  <si>
    <t>solo 1</t>
  </si>
  <si>
    <t>solo 1 ya que el otro es celeste</t>
  </si>
  <si>
    <t>10958-20</t>
  </si>
  <si>
    <t>10960-20</t>
  </si>
  <si>
    <t>DUDAS</t>
  </si>
  <si>
    <t>NV 1218 CUBIERTA RECTA 90X60 TIPO DIP</t>
  </si>
  <si>
    <t>1 UND</t>
  </si>
  <si>
    <t>10959-20</t>
  </si>
  <si>
    <t>NV 1217 MESA COWORK ALTA 120*80*90 PF 7030</t>
  </si>
  <si>
    <t>10957-20</t>
  </si>
  <si>
    <t>10956-20</t>
  </si>
  <si>
    <t>10955-20</t>
  </si>
  <si>
    <t>10954-20</t>
  </si>
  <si>
    <t>10953-20</t>
  </si>
  <si>
    <t>NV 1211 CUBIERTA RECTA 90X60 TIPO DIP</t>
  </si>
  <si>
    <t>10952-20</t>
  </si>
  <si>
    <t>NV 1210 CUBIERTA RECTA 90X60 TIPO DIP</t>
  </si>
  <si>
    <t>10951-20</t>
  </si>
  <si>
    <t>NV 1209 CUBIERTA RECTA 90X60 TIPO DIP</t>
  </si>
  <si>
    <t>1ERA ENTREGA</t>
  </si>
  <si>
    <t>2DA ENTREGA</t>
  </si>
  <si>
    <t>GD 6104</t>
  </si>
  <si>
    <t>POUF FUN CUADRADO_ 45*45CM_ (VNL) NARANJO</t>
  </si>
  <si>
    <t>SB0900018.117</t>
  </si>
  <si>
    <t>NV 1209 SE ENVIO 1 PUF NARANJO POR AZUL Y SE DEBIA MODIFICAR NV POR SKU 0900018.117</t>
  </si>
  <si>
    <t>SOFA TALK BANCO_ (VNL) AMARILLO</t>
  </si>
  <si>
    <t>SB3650507.124</t>
  </si>
  <si>
    <t>GD 6097</t>
  </si>
  <si>
    <t>GD 6096</t>
  </si>
  <si>
    <t>GD 6098</t>
  </si>
  <si>
    <t>GD 6099</t>
  </si>
  <si>
    <t>GD 6100</t>
  </si>
  <si>
    <t>GD 6101</t>
  </si>
  <si>
    <t>INACAP SAN PEDRO</t>
  </si>
  <si>
    <t>GD 6102</t>
  </si>
  <si>
    <t>GD 6105</t>
  </si>
  <si>
    <t>GD 6103</t>
  </si>
  <si>
    <t>DESPACHADOS</t>
  </si>
  <si>
    <t>GD 6302</t>
  </si>
  <si>
    <t>SE DESPACHO 1 POUF NARANJO POR COLOR AZUL PERO NO SE MODIFICO NV</t>
  </si>
  <si>
    <t>PENDIENTE 3 UNDS ROJOS PARA COMPLETAR NV 1217 PERO SE DESPACHARON 2 CENTRAL AZUL Y 1 AMARILLO</t>
  </si>
  <si>
    <t>PENDIENTES 2 UNDS ROJOS PARA COMPLETAR NV 1217 PERO SE DESPACHARON 2 POUFF COLOR CAFÉ</t>
  </si>
  <si>
    <t>OBSERVACION</t>
  </si>
  <si>
    <t>3 DPTES ROJO</t>
  </si>
  <si>
    <t>2 PDTES ROJOS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</si>
</sst>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sz val="11"/>
      <color theme="1"/>
      <name val="Calibri"/>
      <family val="2"/>
      <scheme val="minor"/>
    </font>
    <font>
      <sz val="11"/>
      <color indexed="8"/>
      <name val="Calibri"/>
      <family val="2"/>
    </font>
    <font>
      <b/>
      <sz val="11"/>
      <color indexed="8"/>
      <name val="Calibri"/>
      <family val="2"/>
    </font>
    <font>
      <b/>
      <sz val="26"/>
      <color theme="1"/>
      <name val="Calibri"/>
      <family val="2"/>
      <scheme val="minor"/>
    </font>
  </fonts>
  <fills count="1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5" tint="0.39997558519241921"/>
        <bgColor indexed="64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</borders>
  <cellStyleXfs count="1">
    <xf numFmtId="0" fontId="0" fillId="0" borderId="0"/>
  </cellStyleXfs>
  <cellXfs count="53">
    <xf numFmtId="0" fontId="0" fillId="0" borderId="0" xfId="0"/>
    <xf numFmtId="0" fontId="1" fillId="0" borderId="0" xfId="0" applyNumberFormat="1" applyFont="1" applyFill="1" applyBorder="1" applyAlignment="1" applyProtection="1"/>
    <xf numFmtId="0" fontId="1" fillId="2" borderId="1" xfId="0" applyNumberFormat="1" applyFont="1" applyFill="1" applyBorder="1" applyAlignment="1" applyProtection="1">
      <alignment horizontal="center"/>
    </xf>
    <xf numFmtId="0" fontId="1" fillId="2" borderId="2" xfId="0" applyNumberFormat="1" applyFont="1" applyFill="1" applyBorder="1" applyAlignment="1" applyProtection="1">
      <alignment horizontal="center"/>
    </xf>
    <xf numFmtId="0" fontId="1" fillId="3" borderId="1" xfId="0" applyNumberFormat="1" applyFont="1" applyFill="1" applyBorder="1" applyAlignment="1" applyProtection="1">
      <alignment horizontal="center"/>
    </xf>
    <xf numFmtId="0" fontId="1" fillId="0" borderId="1" xfId="0" applyNumberFormat="1" applyFont="1" applyFill="1" applyBorder="1" applyAlignment="1" applyProtection="1">
      <alignment horizontal="center"/>
    </xf>
    <xf numFmtId="0" fontId="1" fillId="4" borderId="1" xfId="0" applyNumberFormat="1" applyFont="1" applyFill="1" applyBorder="1" applyAlignment="1" applyProtection="1">
      <alignment horizontal="center"/>
    </xf>
    <xf numFmtId="0" fontId="0" fillId="0" borderId="1" xfId="0" applyBorder="1"/>
    <xf numFmtId="0" fontId="0" fillId="0" borderId="1" xfId="0" applyBorder="1" applyAlignment="1">
      <alignment horizontal="center"/>
    </xf>
    <xf numFmtId="0" fontId="0" fillId="4" borderId="1" xfId="0" applyFill="1" applyBorder="1" applyAlignment="1">
      <alignment horizontal="center"/>
    </xf>
    <xf numFmtId="0" fontId="2" fillId="4" borderId="1" xfId="0" applyNumberFormat="1" applyFont="1" applyFill="1" applyBorder="1" applyAlignment="1" applyProtection="1">
      <alignment horizontal="center"/>
    </xf>
    <xf numFmtId="49" fontId="1" fillId="5" borderId="1" xfId="0" applyNumberFormat="1" applyFont="1" applyFill="1" applyBorder="1" applyAlignment="1" applyProtection="1"/>
    <xf numFmtId="0" fontId="0" fillId="5" borderId="1" xfId="0" applyFill="1" applyBorder="1"/>
    <xf numFmtId="0" fontId="1" fillId="5" borderId="1" xfId="0" applyNumberFormat="1" applyFont="1" applyFill="1" applyBorder="1" applyAlignment="1" applyProtection="1">
      <alignment horizontal="center"/>
    </xf>
    <xf numFmtId="0" fontId="0" fillId="3" borderId="1" xfId="0" applyFill="1" applyBorder="1" applyAlignment="1">
      <alignment horizontal="center"/>
    </xf>
    <xf numFmtId="0" fontId="2" fillId="3" borderId="1" xfId="0" applyNumberFormat="1" applyFont="1" applyFill="1" applyBorder="1" applyAlignment="1" applyProtection="1">
      <alignment horizontal="center"/>
    </xf>
    <xf numFmtId="0" fontId="0" fillId="3" borderId="0" xfId="0" applyFill="1"/>
    <xf numFmtId="0" fontId="0" fillId="0" borderId="0" xfId="0" applyAlignment="1">
      <alignment horizontal="center"/>
    </xf>
    <xf numFmtId="0" fontId="0" fillId="6" borderId="0" xfId="0" applyFill="1" applyAlignment="1">
      <alignment horizontal="center"/>
    </xf>
    <xf numFmtId="0" fontId="0" fillId="7" borderId="1" xfId="0" applyFill="1" applyBorder="1" applyAlignment="1">
      <alignment horizontal="center"/>
    </xf>
    <xf numFmtId="49" fontId="1" fillId="5" borderId="0" xfId="0" applyNumberFormat="1" applyFont="1" applyFill="1" applyBorder="1" applyAlignment="1" applyProtection="1"/>
    <xf numFmtId="49" fontId="1" fillId="5" borderId="0" xfId="0" applyNumberFormat="1" applyFont="1" applyFill="1" applyBorder="1" applyAlignment="1" applyProtection="1">
      <alignment horizontal="center"/>
    </xf>
    <xf numFmtId="49" fontId="2" fillId="6" borderId="0" xfId="0" applyNumberFormat="1" applyFont="1" applyFill="1" applyBorder="1" applyAlignment="1" applyProtection="1">
      <alignment horizontal="center"/>
    </xf>
    <xf numFmtId="0" fontId="0" fillId="4" borderId="0" xfId="0" applyFill="1" applyAlignment="1">
      <alignment horizontal="center"/>
    </xf>
    <xf numFmtId="0" fontId="0" fillId="3" borderId="0" xfId="0" applyFill="1" applyAlignment="1">
      <alignment horizontal="center"/>
    </xf>
    <xf numFmtId="0" fontId="0" fillId="7" borderId="0" xfId="0" applyFill="1" applyAlignment="1">
      <alignment horizontal="center"/>
    </xf>
    <xf numFmtId="0" fontId="1" fillId="7" borderId="1" xfId="0" applyNumberFormat="1" applyFont="1" applyFill="1" applyBorder="1" applyAlignment="1" applyProtection="1">
      <alignment horizontal="center"/>
    </xf>
    <xf numFmtId="0" fontId="2" fillId="7" borderId="1" xfId="0" applyNumberFormat="1" applyFont="1" applyFill="1" applyBorder="1" applyAlignment="1" applyProtection="1">
      <alignment horizontal="center"/>
    </xf>
    <xf numFmtId="0" fontId="0" fillId="8" borderId="0" xfId="0" applyFill="1" applyAlignment="1">
      <alignment horizontal="center"/>
    </xf>
    <xf numFmtId="0" fontId="0" fillId="8" borderId="0" xfId="0" applyFill="1"/>
    <xf numFmtId="0" fontId="0" fillId="0" borderId="0" xfId="0" applyAlignment="1">
      <alignment horizontal="center" wrapText="1"/>
    </xf>
    <xf numFmtId="0" fontId="0" fillId="0" borderId="0" xfId="0" applyAlignment="1">
      <alignment horizontal="center" vertical="center" wrapText="1"/>
    </xf>
    <xf numFmtId="0" fontId="1" fillId="9" borderId="1" xfId="0" applyNumberFormat="1" applyFont="1" applyFill="1" applyBorder="1" applyAlignment="1" applyProtection="1">
      <alignment horizontal="center"/>
    </xf>
    <xf numFmtId="49" fontId="1" fillId="2" borderId="1" xfId="0" applyNumberFormat="1" applyFont="1" applyFill="1" applyBorder="1" applyAlignment="1" applyProtection="1"/>
    <xf numFmtId="0" fontId="0" fillId="2" borderId="1" xfId="0" applyFill="1" applyBorder="1"/>
    <xf numFmtId="0" fontId="2" fillId="5" borderId="1" xfId="0" applyNumberFormat="1" applyFont="1" applyFill="1" applyBorder="1" applyAlignment="1" applyProtection="1">
      <alignment horizontal="center"/>
    </xf>
    <xf numFmtId="0" fontId="2" fillId="10" borderId="1" xfId="0" applyNumberFormat="1" applyFont="1" applyFill="1" applyBorder="1" applyAlignment="1" applyProtection="1">
      <alignment horizontal="center"/>
    </xf>
    <xf numFmtId="0" fontId="1" fillId="11" borderId="1" xfId="0" applyNumberFormat="1" applyFont="1" applyFill="1" applyBorder="1" applyAlignment="1" applyProtection="1">
      <alignment horizontal="center"/>
    </xf>
    <xf numFmtId="0" fontId="1" fillId="12" borderId="1" xfId="0" applyNumberFormat="1" applyFont="1" applyFill="1" applyBorder="1" applyAlignment="1" applyProtection="1">
      <alignment horizontal="center"/>
    </xf>
    <xf numFmtId="0" fontId="2" fillId="12" borderId="1" xfId="0" applyNumberFormat="1" applyFont="1" applyFill="1" applyBorder="1" applyAlignment="1" applyProtection="1">
      <alignment horizontal="center"/>
    </xf>
    <xf numFmtId="0" fontId="0" fillId="12" borderId="1" xfId="0" applyFill="1" applyBorder="1" applyAlignment="1">
      <alignment horizontal="center"/>
    </xf>
    <xf numFmtId="49" fontId="1" fillId="5" borderId="1" xfId="0" applyNumberFormat="1" applyFont="1" applyFill="1" applyBorder="1" applyAlignment="1" applyProtection="1">
      <alignment vertical="center"/>
    </xf>
    <xf numFmtId="0" fontId="1" fillId="12" borderId="1" xfId="0" applyNumberFormat="1" applyFont="1" applyFill="1" applyBorder="1" applyAlignment="1" applyProtection="1">
      <alignment horizontal="center" vertical="center"/>
    </xf>
    <xf numFmtId="0" fontId="1" fillId="0" borderId="1" xfId="0" applyNumberFormat="1" applyFont="1" applyFill="1" applyBorder="1" applyAlignment="1" applyProtection="1">
      <alignment horizontal="center" vertical="center"/>
    </xf>
    <xf numFmtId="0" fontId="1" fillId="5" borderId="1" xfId="0" applyNumberFormat="1" applyFont="1" applyFill="1" applyBorder="1" applyAlignment="1" applyProtection="1">
      <alignment horizontal="center" vertical="center"/>
    </xf>
    <xf numFmtId="0" fontId="0" fillId="0" borderId="0" xfId="0" applyAlignment="1">
      <alignment vertical="center"/>
    </xf>
    <xf numFmtId="0" fontId="0" fillId="2" borderId="0" xfId="0" applyFill="1" applyAlignment="1">
      <alignment horizontal="center" vertical="center" wrapText="1"/>
    </xf>
    <xf numFmtId="0" fontId="1" fillId="11" borderId="1" xfId="0" applyNumberFormat="1" applyFont="1" applyFill="1" applyBorder="1" applyAlignment="1" applyProtection="1">
      <alignment horizontal="center" vertical="center"/>
    </xf>
    <xf numFmtId="0" fontId="0" fillId="11" borderId="0" xfId="0" applyFill="1" applyAlignment="1">
      <alignment horizontal="center" wrapText="1"/>
    </xf>
    <xf numFmtId="0" fontId="0" fillId="11" borderId="0" xfId="0" applyFill="1" applyAlignment="1">
      <alignment horizontal="center" vertical="center" wrapText="1"/>
    </xf>
    <xf numFmtId="49" fontId="2" fillId="2" borderId="0" xfId="0" applyNumberFormat="1" applyFont="1" applyFill="1" applyBorder="1" applyAlignment="1" applyProtection="1">
      <alignment horizontal="center"/>
    </xf>
    <xf numFmtId="0" fontId="1" fillId="2" borderId="1" xfId="0" applyNumberFormat="1" applyFont="1" applyFill="1" applyBorder="1" applyAlignment="1" applyProtection="1">
      <alignment horizontal="center" vertical="center"/>
    </xf>
    <xf numFmtId="0" fontId="3" fillId="0" borderId="0" xfId="0" applyFont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O100"/>
  <sheetViews>
    <sheetView topLeftCell="A2" workbookViewId="0">
      <pane xSplit="2" ySplit="8" topLeftCell="C37" activePane="bottomRight" state="frozen"/>
      <selection activeCell="A2" sqref="A2"/>
      <selection pane="topRight" activeCell="C2" sqref="C2"/>
      <selection pane="bottomLeft" activeCell="A10" sqref="A10"/>
      <selection pane="bottomRight" activeCell="B41" sqref="B41:C47"/>
    </sheetView>
  </sheetViews>
  <sheetFormatPr baseColWidth="10" defaultRowHeight="15" x14ac:dyDescent="0.25"/>
  <cols>
    <col min="1" max="1" width="13.7109375" bestFit="1" customWidth="1"/>
    <col min="2" max="2" width="49.28515625" bestFit="1" customWidth="1"/>
    <col min="3" max="3" width="8.140625" style="17" customWidth="1"/>
    <col min="4" max="4" width="14" bestFit="1" customWidth="1"/>
    <col min="5" max="5" width="8.140625" customWidth="1"/>
    <col min="6" max="6" width="8.5703125" customWidth="1"/>
    <col min="7" max="7" width="8.140625" customWidth="1"/>
    <col min="8" max="8" width="8.5703125" customWidth="1"/>
    <col min="9" max="9" width="8.7109375" customWidth="1"/>
    <col min="10" max="11" width="8.85546875" customWidth="1"/>
    <col min="12" max="12" width="8.140625" customWidth="1"/>
    <col min="13" max="13" width="11.140625" bestFit="1" customWidth="1"/>
    <col min="15" max="15" width="28.42578125" style="17" bestFit="1" customWidth="1"/>
  </cols>
  <sheetData>
    <row r="2" spans="1:15" x14ac:dyDescent="0.25">
      <c r="C2" s="23"/>
      <c r="D2" t="s">
        <v>105</v>
      </c>
    </row>
    <row r="3" spans="1:15" x14ac:dyDescent="0.25">
      <c r="C3" s="24"/>
      <c r="D3" t="s">
        <v>82</v>
      </c>
    </row>
    <row r="4" spans="1:15" x14ac:dyDescent="0.25">
      <c r="B4" s="52" t="s">
        <v>119</v>
      </c>
      <c r="C4" s="25"/>
      <c r="D4" t="s">
        <v>106</v>
      </c>
    </row>
    <row r="5" spans="1:15" x14ac:dyDescent="0.25">
      <c r="B5" s="52"/>
      <c r="C5"/>
    </row>
    <row r="6" spans="1:15" x14ac:dyDescent="0.25">
      <c r="C6" s="28" t="s">
        <v>103</v>
      </c>
      <c r="D6" s="29" t="s">
        <v>101</v>
      </c>
      <c r="E6" s="29" t="s">
        <v>99</v>
      </c>
      <c r="F6" s="29" t="s">
        <v>98</v>
      </c>
      <c r="G6" s="29" t="s">
        <v>97</v>
      </c>
      <c r="H6" s="29" t="s">
        <v>96</v>
      </c>
      <c r="I6" s="29" t="s">
        <v>95</v>
      </c>
      <c r="J6" s="29" t="s">
        <v>88</v>
      </c>
      <c r="K6" s="29" t="s">
        <v>93</v>
      </c>
      <c r="L6" s="29" t="s">
        <v>89</v>
      </c>
    </row>
    <row r="7" spans="1:15" x14ac:dyDescent="0.25">
      <c r="A7" s="1"/>
      <c r="B7" s="1"/>
      <c r="C7" s="2" t="s">
        <v>0</v>
      </c>
      <c r="D7" s="2" t="s">
        <v>1</v>
      </c>
      <c r="E7" s="2" t="s">
        <v>2</v>
      </c>
      <c r="F7" s="2" t="s">
        <v>3</v>
      </c>
      <c r="G7" s="2" t="s">
        <v>4</v>
      </c>
      <c r="H7" s="2" t="s">
        <v>5</v>
      </c>
      <c r="I7" s="2" t="s">
        <v>6</v>
      </c>
      <c r="J7" s="2" t="s">
        <v>7</v>
      </c>
      <c r="K7" s="2" t="s">
        <v>8</v>
      </c>
      <c r="L7" s="2" t="s">
        <v>9</v>
      </c>
      <c r="M7" s="2" t="s">
        <v>10</v>
      </c>
      <c r="N7" s="3" t="s">
        <v>75</v>
      </c>
    </row>
    <row r="8" spans="1:15" x14ac:dyDescent="0.25">
      <c r="A8" s="1"/>
      <c r="B8" s="1"/>
      <c r="C8" s="10" t="s">
        <v>57</v>
      </c>
      <c r="D8" s="10" t="s">
        <v>58</v>
      </c>
      <c r="E8" s="10" t="s">
        <v>59</v>
      </c>
      <c r="F8" s="10" t="s">
        <v>60</v>
      </c>
      <c r="G8" s="10" t="s">
        <v>61</v>
      </c>
      <c r="H8" s="10" t="s">
        <v>62</v>
      </c>
      <c r="I8" s="10" t="s">
        <v>63</v>
      </c>
      <c r="J8" s="10" t="s">
        <v>64</v>
      </c>
      <c r="K8" s="10" t="s">
        <v>65</v>
      </c>
      <c r="L8" s="10" t="s">
        <v>66</v>
      </c>
      <c r="M8" s="15" t="s">
        <v>77</v>
      </c>
      <c r="N8" s="2" t="s">
        <v>78</v>
      </c>
      <c r="O8"/>
    </row>
    <row r="9" spans="1:15" x14ac:dyDescent="0.25">
      <c r="A9" s="1"/>
      <c r="B9" s="1"/>
      <c r="C9" s="27" t="s">
        <v>107</v>
      </c>
      <c r="D9" s="27" t="s">
        <v>113</v>
      </c>
      <c r="E9" s="27" t="s">
        <v>114</v>
      </c>
      <c r="F9" s="27" t="s">
        <v>115</v>
      </c>
      <c r="G9" s="27" t="s">
        <v>116</v>
      </c>
      <c r="H9" s="27" t="s">
        <v>117</v>
      </c>
      <c r="I9" s="27" t="s">
        <v>118</v>
      </c>
      <c r="J9" s="27" t="s">
        <v>120</v>
      </c>
      <c r="K9" s="27" t="s">
        <v>121</v>
      </c>
      <c r="L9" s="27" t="s">
        <v>122</v>
      </c>
      <c r="M9" s="15"/>
      <c r="N9" s="2"/>
      <c r="O9"/>
    </row>
    <row r="10" spans="1:15" ht="18" customHeight="1" x14ac:dyDescent="0.25">
      <c r="A10" s="33" t="s">
        <v>11</v>
      </c>
      <c r="B10" s="33" t="s">
        <v>12</v>
      </c>
      <c r="C10" s="6">
        <v>1</v>
      </c>
      <c r="D10" s="6">
        <v>2</v>
      </c>
      <c r="E10" s="6">
        <v>2</v>
      </c>
      <c r="F10" s="5"/>
      <c r="G10" s="5"/>
      <c r="H10" s="5"/>
      <c r="I10" s="5"/>
      <c r="J10" s="5"/>
      <c r="K10" s="5"/>
      <c r="L10" s="6">
        <v>2</v>
      </c>
      <c r="M10" s="6" t="s">
        <v>76</v>
      </c>
      <c r="N10" s="5"/>
    </row>
    <row r="11" spans="1:15" x14ac:dyDescent="0.25">
      <c r="A11" s="33" t="s">
        <v>13</v>
      </c>
      <c r="B11" s="33" t="s">
        <v>14</v>
      </c>
      <c r="C11" s="2">
        <v>2</v>
      </c>
      <c r="D11" s="5"/>
      <c r="E11" s="2">
        <v>1</v>
      </c>
      <c r="F11" s="5"/>
      <c r="G11" s="5"/>
      <c r="H11" s="5"/>
      <c r="I11" s="2">
        <v>2</v>
      </c>
      <c r="J11" s="5"/>
      <c r="K11" s="26">
        <v>6</v>
      </c>
      <c r="L11" s="5"/>
      <c r="M11" s="4">
        <v>3</v>
      </c>
      <c r="N11" s="5">
        <v>3</v>
      </c>
      <c r="O11" s="18" t="s">
        <v>83</v>
      </c>
    </row>
    <row r="12" spans="1:15" ht="14.25" customHeight="1" x14ac:dyDescent="0.25">
      <c r="A12" s="33" t="s">
        <v>15</v>
      </c>
      <c r="B12" s="33" t="s">
        <v>16</v>
      </c>
      <c r="C12" s="6">
        <v>2</v>
      </c>
      <c r="D12" s="5"/>
      <c r="E12" s="6">
        <v>1</v>
      </c>
      <c r="F12" s="5"/>
      <c r="G12" s="6">
        <v>1</v>
      </c>
      <c r="H12" s="5"/>
      <c r="I12" s="5"/>
      <c r="J12" s="5"/>
      <c r="K12" s="13"/>
      <c r="L12" s="5"/>
      <c r="M12" s="6" t="s">
        <v>76</v>
      </c>
      <c r="N12" s="5"/>
    </row>
    <row r="13" spans="1:15" x14ac:dyDescent="0.25">
      <c r="A13" s="33" t="s">
        <v>17</v>
      </c>
      <c r="B13" s="33" t="s">
        <v>18</v>
      </c>
      <c r="C13" s="26">
        <v>1</v>
      </c>
      <c r="D13" s="5"/>
      <c r="E13" s="26">
        <v>1</v>
      </c>
      <c r="F13" s="5"/>
      <c r="G13" s="5"/>
      <c r="H13" s="26">
        <v>2</v>
      </c>
      <c r="I13" s="5"/>
      <c r="J13" s="5"/>
      <c r="K13" s="26">
        <v>1</v>
      </c>
      <c r="L13" s="5"/>
      <c r="M13" s="4">
        <f t="shared" ref="M13:M34" si="0">SUM(C13:L13)</f>
        <v>5</v>
      </c>
      <c r="N13" s="5">
        <v>6</v>
      </c>
      <c r="O13" s="18" t="s">
        <v>84</v>
      </c>
    </row>
    <row r="14" spans="1:15" x14ac:dyDescent="0.25">
      <c r="A14" s="33" t="s">
        <v>19</v>
      </c>
      <c r="B14" s="33" t="s">
        <v>20</v>
      </c>
      <c r="C14" s="26">
        <v>1</v>
      </c>
      <c r="D14" s="5"/>
      <c r="E14" s="5"/>
      <c r="F14" s="5"/>
      <c r="G14" s="5"/>
      <c r="H14" s="5"/>
      <c r="I14" s="5"/>
      <c r="J14" s="5"/>
      <c r="K14" s="26">
        <v>1</v>
      </c>
      <c r="L14" s="5"/>
      <c r="M14" s="4">
        <f t="shared" si="0"/>
        <v>2</v>
      </c>
      <c r="N14" s="5">
        <v>6</v>
      </c>
      <c r="O14" s="18" t="s">
        <v>84</v>
      </c>
    </row>
    <row r="15" spans="1:15" x14ac:dyDescent="0.25">
      <c r="A15" s="33" t="s">
        <v>21</v>
      </c>
      <c r="B15" s="33" t="s">
        <v>22</v>
      </c>
      <c r="C15" s="26">
        <v>1</v>
      </c>
      <c r="D15" s="5"/>
      <c r="E15" s="5"/>
      <c r="F15" s="5"/>
      <c r="G15" s="5"/>
      <c r="H15" s="5"/>
      <c r="I15" s="5"/>
      <c r="J15" s="5"/>
      <c r="K15" s="13"/>
      <c r="L15" s="5"/>
      <c r="M15" s="4" t="s">
        <v>86</v>
      </c>
      <c r="N15" s="5">
        <v>2</v>
      </c>
      <c r="O15" s="18" t="s">
        <v>87</v>
      </c>
    </row>
    <row r="16" spans="1:15" x14ac:dyDescent="0.25">
      <c r="A16" s="33" t="s">
        <v>109</v>
      </c>
      <c r="B16" s="33" t="s">
        <v>108</v>
      </c>
      <c r="C16" s="26">
        <v>1</v>
      </c>
      <c r="D16" s="5"/>
      <c r="E16" s="5"/>
      <c r="F16" s="5"/>
      <c r="G16" s="5"/>
      <c r="H16" s="5"/>
      <c r="I16" s="5"/>
      <c r="J16" s="5"/>
      <c r="K16" s="13"/>
      <c r="L16" s="5"/>
      <c r="M16" s="4"/>
      <c r="N16" s="5"/>
      <c r="O16" s="18"/>
    </row>
    <row r="17" spans="1:15" x14ac:dyDescent="0.25">
      <c r="A17" s="33" t="s">
        <v>23</v>
      </c>
      <c r="B17" s="33" t="s">
        <v>24</v>
      </c>
      <c r="C17" s="5"/>
      <c r="D17" s="26">
        <v>1</v>
      </c>
      <c r="E17" s="26">
        <v>1</v>
      </c>
      <c r="F17" s="5"/>
      <c r="G17" s="5"/>
      <c r="H17" s="5"/>
      <c r="I17" s="26">
        <v>2</v>
      </c>
      <c r="J17" s="5"/>
      <c r="K17" s="26">
        <v>1</v>
      </c>
      <c r="L17" s="5"/>
      <c r="M17" s="4">
        <f t="shared" si="0"/>
        <v>5</v>
      </c>
      <c r="N17" s="5">
        <v>6</v>
      </c>
      <c r="O17" s="18" t="s">
        <v>84</v>
      </c>
    </row>
    <row r="18" spans="1:15" x14ac:dyDescent="0.25">
      <c r="A18" s="33" t="s">
        <v>25</v>
      </c>
      <c r="B18" s="33" t="s">
        <v>26</v>
      </c>
      <c r="C18" s="5"/>
      <c r="D18" s="26">
        <v>3</v>
      </c>
      <c r="E18" s="13"/>
      <c r="F18" s="26">
        <v>3</v>
      </c>
      <c r="G18" s="6">
        <v>2</v>
      </c>
      <c r="H18" s="6">
        <v>4</v>
      </c>
      <c r="I18" s="5"/>
      <c r="J18" s="6">
        <v>5</v>
      </c>
      <c r="K18" s="13"/>
      <c r="L18" s="26">
        <v>8</v>
      </c>
      <c r="M18" s="4">
        <v>14</v>
      </c>
      <c r="N18" s="5">
        <v>17</v>
      </c>
      <c r="O18" s="18" t="s">
        <v>84</v>
      </c>
    </row>
    <row r="19" spans="1:15" x14ac:dyDescent="0.25">
      <c r="A19" s="33" t="s">
        <v>25</v>
      </c>
      <c r="B19" s="33" t="s">
        <v>26</v>
      </c>
      <c r="C19" s="5"/>
      <c r="D19" s="5"/>
      <c r="E19" s="5"/>
      <c r="F19" s="5"/>
      <c r="G19" s="5"/>
      <c r="H19" s="5"/>
      <c r="I19" s="5"/>
      <c r="J19" s="26">
        <v>1</v>
      </c>
      <c r="K19" s="13"/>
      <c r="L19" s="5"/>
      <c r="M19" s="4">
        <v>1</v>
      </c>
      <c r="N19" s="5">
        <v>17</v>
      </c>
      <c r="O19" s="18" t="s">
        <v>84</v>
      </c>
    </row>
    <row r="20" spans="1:15" ht="14.25" customHeight="1" x14ac:dyDescent="0.25">
      <c r="A20" s="33" t="s">
        <v>27</v>
      </c>
      <c r="B20" s="33" t="s">
        <v>28</v>
      </c>
      <c r="C20" s="5"/>
      <c r="D20" s="6">
        <v>2</v>
      </c>
      <c r="E20" s="5"/>
      <c r="F20" s="6">
        <v>2</v>
      </c>
      <c r="G20" s="5"/>
      <c r="H20" s="5"/>
      <c r="I20" s="5"/>
      <c r="J20" s="5"/>
      <c r="K20" s="13"/>
      <c r="L20" s="6">
        <v>2</v>
      </c>
      <c r="M20" s="6" t="s">
        <v>76</v>
      </c>
      <c r="N20" s="5"/>
    </row>
    <row r="21" spans="1:15" x14ac:dyDescent="0.25">
      <c r="A21" s="33" t="s">
        <v>29</v>
      </c>
      <c r="B21" s="33" t="s">
        <v>30</v>
      </c>
      <c r="C21" s="5"/>
      <c r="D21" s="26">
        <v>2</v>
      </c>
      <c r="E21" s="5"/>
      <c r="F21" s="5"/>
      <c r="G21" s="5"/>
      <c r="H21" s="5"/>
      <c r="I21" s="5"/>
      <c r="J21" s="5"/>
      <c r="K21" s="26">
        <v>2</v>
      </c>
      <c r="L21" s="5"/>
      <c r="M21" s="4">
        <f t="shared" si="0"/>
        <v>4</v>
      </c>
      <c r="N21" s="5">
        <v>4</v>
      </c>
      <c r="O21"/>
    </row>
    <row r="22" spans="1:15" x14ac:dyDescent="0.25">
      <c r="A22" s="33" t="s">
        <v>31</v>
      </c>
      <c r="B22" s="33" t="s">
        <v>32</v>
      </c>
      <c r="C22" s="5"/>
      <c r="D22" s="5"/>
      <c r="E22" s="26">
        <v>1</v>
      </c>
      <c r="F22" s="5"/>
      <c r="G22" s="26">
        <v>2</v>
      </c>
      <c r="H22" s="5"/>
      <c r="I22" s="5"/>
      <c r="J22" s="5"/>
      <c r="K22" s="13"/>
      <c r="L22" s="5"/>
      <c r="M22" s="4">
        <f t="shared" si="0"/>
        <v>3</v>
      </c>
      <c r="N22" s="5">
        <v>8</v>
      </c>
      <c r="O22" s="18" t="s">
        <v>85</v>
      </c>
    </row>
    <row r="23" spans="1:15" x14ac:dyDescent="0.25">
      <c r="A23" s="33" t="s">
        <v>112</v>
      </c>
      <c r="B23" s="33" t="s">
        <v>111</v>
      </c>
      <c r="C23" s="26">
        <v>1</v>
      </c>
      <c r="D23" s="5"/>
      <c r="E23" s="5"/>
      <c r="F23" s="5"/>
      <c r="G23" s="5"/>
      <c r="H23" s="5"/>
      <c r="I23" s="5"/>
      <c r="J23" s="5"/>
      <c r="K23" s="26">
        <v>1</v>
      </c>
      <c r="L23" s="5"/>
      <c r="M23" s="4">
        <v>2</v>
      </c>
      <c r="N23" s="5">
        <v>2</v>
      </c>
      <c r="O23" s="18" t="s">
        <v>84</v>
      </c>
    </row>
    <row r="24" spans="1:15" x14ac:dyDescent="0.25">
      <c r="A24" s="33" t="s">
        <v>33</v>
      </c>
      <c r="B24" s="33" t="s">
        <v>34</v>
      </c>
      <c r="C24" s="5"/>
      <c r="D24" s="5"/>
      <c r="E24" s="26">
        <v>8</v>
      </c>
      <c r="F24" s="26">
        <v>8</v>
      </c>
      <c r="G24" s="26">
        <v>12</v>
      </c>
      <c r="H24" s="26">
        <v>12</v>
      </c>
      <c r="I24" s="5"/>
      <c r="J24" s="5"/>
      <c r="K24" s="26">
        <v>8</v>
      </c>
      <c r="L24" s="26">
        <v>8</v>
      </c>
      <c r="M24" s="4">
        <f t="shared" si="0"/>
        <v>56</v>
      </c>
      <c r="N24" s="5">
        <v>70</v>
      </c>
      <c r="O24"/>
    </row>
    <row r="25" spans="1:15" ht="15" customHeight="1" x14ac:dyDescent="0.25">
      <c r="A25" s="33" t="s">
        <v>35</v>
      </c>
      <c r="B25" s="33" t="s">
        <v>36</v>
      </c>
      <c r="C25" s="5"/>
      <c r="D25" s="5"/>
      <c r="E25" s="5"/>
      <c r="F25" s="6">
        <v>2</v>
      </c>
      <c r="G25" s="5"/>
      <c r="H25" s="5"/>
      <c r="I25" s="5"/>
      <c r="J25" s="5"/>
      <c r="K25" s="6">
        <v>1</v>
      </c>
      <c r="L25" s="5"/>
      <c r="M25" s="6" t="s">
        <v>76</v>
      </c>
      <c r="N25" s="5"/>
    </row>
    <row r="26" spans="1:15" x14ac:dyDescent="0.25">
      <c r="A26" s="33" t="s">
        <v>37</v>
      </c>
      <c r="B26" s="33" t="s">
        <v>38</v>
      </c>
      <c r="C26" s="5"/>
      <c r="D26" s="5"/>
      <c r="E26" s="5"/>
      <c r="F26" s="5"/>
      <c r="G26" s="26">
        <v>1</v>
      </c>
      <c r="H26" s="5"/>
      <c r="I26" s="26">
        <v>2</v>
      </c>
      <c r="J26" s="5"/>
      <c r="K26" s="5"/>
      <c r="L26" s="5"/>
      <c r="M26" s="4">
        <f t="shared" si="0"/>
        <v>3</v>
      </c>
      <c r="N26" s="4">
        <v>3</v>
      </c>
      <c r="O26" s="18" t="s">
        <v>84</v>
      </c>
    </row>
    <row r="27" spans="1:15" x14ac:dyDescent="0.25">
      <c r="A27" s="33" t="s">
        <v>39</v>
      </c>
      <c r="B27" s="33" t="s">
        <v>40</v>
      </c>
      <c r="C27" s="5"/>
      <c r="D27" s="5"/>
      <c r="E27" s="5"/>
      <c r="F27" s="5"/>
      <c r="G27" s="5"/>
      <c r="H27" s="5"/>
      <c r="I27" s="26">
        <v>2</v>
      </c>
      <c r="J27" s="5"/>
      <c r="K27" s="26">
        <v>1</v>
      </c>
      <c r="L27" s="26">
        <v>1</v>
      </c>
      <c r="M27" s="4">
        <f t="shared" si="0"/>
        <v>4</v>
      </c>
      <c r="N27" s="5">
        <v>6</v>
      </c>
      <c r="O27"/>
    </row>
    <row r="28" spans="1:15" x14ac:dyDescent="0.25">
      <c r="A28" s="33" t="s">
        <v>41</v>
      </c>
      <c r="B28" s="33" t="s">
        <v>42</v>
      </c>
      <c r="C28" s="5"/>
      <c r="D28" s="5"/>
      <c r="E28" s="5"/>
      <c r="F28" s="5"/>
      <c r="G28" s="5"/>
      <c r="H28" s="5"/>
      <c r="I28" s="5"/>
      <c r="J28" s="26">
        <v>4</v>
      </c>
      <c r="K28" s="26">
        <v>2</v>
      </c>
      <c r="L28" s="5"/>
      <c r="M28" s="4">
        <f t="shared" si="0"/>
        <v>6</v>
      </c>
      <c r="N28" s="5">
        <v>6</v>
      </c>
      <c r="O28"/>
    </row>
    <row r="29" spans="1:15" x14ac:dyDescent="0.25">
      <c r="A29" s="33" t="s">
        <v>43</v>
      </c>
      <c r="B29" s="33" t="s">
        <v>44</v>
      </c>
      <c r="C29" s="5"/>
      <c r="D29" s="5"/>
      <c r="E29" s="5"/>
      <c r="F29" s="5"/>
      <c r="G29" s="5"/>
      <c r="H29" s="5"/>
      <c r="I29" s="5"/>
      <c r="J29" s="5"/>
      <c r="K29" s="26">
        <v>3</v>
      </c>
      <c r="L29" s="5"/>
      <c r="M29" s="4">
        <f t="shared" si="0"/>
        <v>3</v>
      </c>
      <c r="N29" s="4">
        <v>4</v>
      </c>
      <c r="O29" s="16" t="s">
        <v>79</v>
      </c>
    </row>
    <row r="30" spans="1:15" x14ac:dyDescent="0.25">
      <c r="A30" s="33" t="s">
        <v>45</v>
      </c>
      <c r="B30" s="33" t="s">
        <v>46</v>
      </c>
      <c r="C30" s="32"/>
      <c r="D30" s="32"/>
      <c r="E30" s="32"/>
      <c r="F30" s="32"/>
      <c r="G30" s="32"/>
      <c r="H30" s="32"/>
      <c r="I30" s="32"/>
      <c r="J30" s="32"/>
      <c r="K30" s="32">
        <v>2</v>
      </c>
      <c r="L30" s="32"/>
      <c r="M30" s="32">
        <f t="shared" si="0"/>
        <v>2</v>
      </c>
      <c r="N30" s="32">
        <v>2</v>
      </c>
      <c r="O30"/>
    </row>
    <row r="31" spans="1:15" x14ac:dyDescent="0.25">
      <c r="A31" s="33" t="s">
        <v>47</v>
      </c>
      <c r="B31" s="33" t="s">
        <v>48</v>
      </c>
      <c r="C31" s="5"/>
      <c r="D31" s="5"/>
      <c r="E31" s="5"/>
      <c r="F31" s="5"/>
      <c r="G31" s="5"/>
      <c r="H31" s="5"/>
      <c r="I31" s="5"/>
      <c r="J31" s="5"/>
      <c r="K31" s="5"/>
      <c r="L31" s="26">
        <v>4</v>
      </c>
      <c r="M31" s="4">
        <f t="shared" si="0"/>
        <v>4</v>
      </c>
      <c r="N31" s="5">
        <v>8</v>
      </c>
      <c r="O31"/>
    </row>
    <row r="32" spans="1:15" x14ac:dyDescent="0.25">
      <c r="A32" s="33" t="s">
        <v>49</v>
      </c>
      <c r="B32" s="33" t="s">
        <v>50</v>
      </c>
      <c r="C32" s="5"/>
      <c r="D32" s="5"/>
      <c r="E32" s="5"/>
      <c r="F32" s="5"/>
      <c r="G32" s="5"/>
      <c r="H32" s="5"/>
      <c r="I32" s="5"/>
      <c r="J32" s="5"/>
      <c r="K32" s="5"/>
      <c r="L32" s="26">
        <v>2</v>
      </c>
      <c r="M32" s="4">
        <f t="shared" si="0"/>
        <v>2</v>
      </c>
      <c r="N32" s="4">
        <v>3</v>
      </c>
      <c r="O32" s="16" t="s">
        <v>79</v>
      </c>
    </row>
    <row r="33" spans="1:15" x14ac:dyDescent="0.25">
      <c r="A33" s="33" t="s">
        <v>51</v>
      </c>
      <c r="B33" s="33" t="s">
        <v>52</v>
      </c>
      <c r="C33" s="32"/>
      <c r="D33" s="32"/>
      <c r="E33" s="32"/>
      <c r="F33" s="32"/>
      <c r="G33" s="32"/>
      <c r="H33" s="32"/>
      <c r="I33" s="32"/>
      <c r="J33" s="32"/>
      <c r="K33" s="32"/>
      <c r="L33" s="32">
        <v>1</v>
      </c>
      <c r="M33" s="32">
        <f t="shared" si="0"/>
        <v>1</v>
      </c>
      <c r="N33" s="32" t="s">
        <v>80</v>
      </c>
      <c r="O33"/>
    </row>
    <row r="34" spans="1:15" x14ac:dyDescent="0.25">
      <c r="A34" s="33" t="s">
        <v>53</v>
      </c>
      <c r="B34" s="33" t="s">
        <v>54</v>
      </c>
      <c r="C34" s="5"/>
      <c r="D34" s="5"/>
      <c r="E34" s="5"/>
      <c r="F34" s="5"/>
      <c r="G34" s="5"/>
      <c r="H34" s="5"/>
      <c r="I34" s="5"/>
      <c r="J34" s="5"/>
      <c r="K34" s="5"/>
      <c r="L34" s="26">
        <v>1</v>
      </c>
      <c r="M34" s="4">
        <f t="shared" si="0"/>
        <v>1</v>
      </c>
      <c r="N34" s="4">
        <v>3</v>
      </c>
      <c r="O34" s="16" t="s">
        <v>79</v>
      </c>
    </row>
    <row r="35" spans="1:15" ht="15" customHeight="1" x14ac:dyDescent="0.25">
      <c r="A35" s="33" t="s">
        <v>55</v>
      </c>
      <c r="B35" s="34" t="s">
        <v>56</v>
      </c>
      <c r="C35" s="9">
        <v>1</v>
      </c>
      <c r="D35" s="9">
        <v>1</v>
      </c>
      <c r="E35" s="9">
        <v>1</v>
      </c>
      <c r="F35" s="8"/>
      <c r="G35" s="8"/>
      <c r="H35" s="8"/>
      <c r="I35" s="8"/>
      <c r="J35" s="8"/>
      <c r="K35" s="8"/>
      <c r="L35" s="9">
        <v>1</v>
      </c>
      <c r="M35" s="9" t="s">
        <v>76</v>
      </c>
      <c r="N35" s="5"/>
      <c r="O35"/>
    </row>
    <row r="36" spans="1:15" x14ac:dyDescent="0.25">
      <c r="A36" s="33" t="s">
        <v>67</v>
      </c>
      <c r="B36" s="33" t="s">
        <v>68</v>
      </c>
      <c r="C36" s="19">
        <v>1</v>
      </c>
      <c r="D36" s="19">
        <v>1</v>
      </c>
      <c r="E36" s="8"/>
      <c r="F36" s="8"/>
      <c r="G36" s="8"/>
      <c r="H36" s="8"/>
      <c r="I36" s="8"/>
      <c r="J36" s="8"/>
      <c r="K36" s="19">
        <v>1</v>
      </c>
      <c r="L36" s="8"/>
      <c r="M36" s="14">
        <v>2</v>
      </c>
      <c r="N36" s="4" t="s">
        <v>81</v>
      </c>
      <c r="O36"/>
    </row>
    <row r="37" spans="1:15" x14ac:dyDescent="0.25">
      <c r="A37" s="33" t="s">
        <v>69</v>
      </c>
      <c r="B37" s="33" t="s">
        <v>70</v>
      </c>
      <c r="C37" s="8"/>
      <c r="D37" s="8"/>
      <c r="E37" s="19">
        <v>2</v>
      </c>
      <c r="F37" s="19">
        <v>2</v>
      </c>
      <c r="G37" s="19">
        <v>3</v>
      </c>
      <c r="H37" s="19">
        <v>3</v>
      </c>
      <c r="I37" s="8"/>
      <c r="J37" s="8"/>
      <c r="K37" s="8"/>
      <c r="L37" s="19">
        <v>1</v>
      </c>
      <c r="M37" s="14">
        <v>10</v>
      </c>
      <c r="N37" s="4" t="s">
        <v>81</v>
      </c>
      <c r="O37"/>
    </row>
    <row r="38" spans="1:15" x14ac:dyDescent="0.25">
      <c r="A38" s="33" t="s">
        <v>71</v>
      </c>
      <c r="B38" s="34" t="s">
        <v>72</v>
      </c>
      <c r="C38" s="8"/>
      <c r="D38" s="8"/>
      <c r="E38" s="8"/>
      <c r="F38" s="8"/>
      <c r="G38" s="8"/>
      <c r="H38" s="8"/>
      <c r="I38" s="19">
        <v>2</v>
      </c>
      <c r="J38" s="19">
        <v>1</v>
      </c>
      <c r="K38" s="19">
        <v>2</v>
      </c>
      <c r="L38" s="19">
        <v>1</v>
      </c>
      <c r="M38" s="14">
        <v>6</v>
      </c>
      <c r="N38" s="4" t="s">
        <v>81</v>
      </c>
      <c r="O38"/>
    </row>
    <row r="39" spans="1:15" x14ac:dyDescent="0.25">
      <c r="A39" s="33" t="s">
        <v>73</v>
      </c>
      <c r="B39" s="34" t="s">
        <v>74</v>
      </c>
      <c r="C39" s="8"/>
      <c r="D39" s="8"/>
      <c r="E39" s="8"/>
      <c r="F39" s="8"/>
      <c r="G39" s="8"/>
      <c r="H39" s="8"/>
      <c r="I39" s="8"/>
      <c r="J39" s="8"/>
      <c r="K39" s="19">
        <v>1</v>
      </c>
      <c r="L39" s="19">
        <v>1</v>
      </c>
      <c r="M39" s="14">
        <v>2</v>
      </c>
      <c r="N39" s="4" t="s">
        <v>81</v>
      </c>
      <c r="O39"/>
    </row>
    <row r="41" spans="1:15" x14ac:dyDescent="0.25">
      <c r="B41" s="22" t="s">
        <v>90</v>
      </c>
    </row>
    <row r="42" spans="1:15" x14ac:dyDescent="0.25">
      <c r="A42" s="20"/>
      <c r="B42" s="17" t="s">
        <v>91</v>
      </c>
      <c r="C42" s="17" t="s">
        <v>92</v>
      </c>
    </row>
    <row r="43" spans="1:15" x14ac:dyDescent="0.25">
      <c r="B43" s="21" t="s">
        <v>94</v>
      </c>
      <c r="C43" s="17" t="s">
        <v>92</v>
      </c>
    </row>
    <row r="44" spans="1:15" x14ac:dyDescent="0.25">
      <c r="B44" s="17" t="s">
        <v>100</v>
      </c>
      <c r="C44" s="17" t="s">
        <v>92</v>
      </c>
    </row>
    <row r="45" spans="1:15" x14ac:dyDescent="0.25">
      <c r="B45" s="17" t="s">
        <v>102</v>
      </c>
      <c r="C45" s="17" t="s">
        <v>92</v>
      </c>
    </row>
    <row r="46" spans="1:15" x14ac:dyDescent="0.25">
      <c r="B46" s="17" t="s">
        <v>104</v>
      </c>
      <c r="C46" s="17" t="s">
        <v>92</v>
      </c>
    </row>
    <row r="47" spans="1:15" ht="30" x14ac:dyDescent="0.25">
      <c r="B47" s="30" t="s">
        <v>110</v>
      </c>
      <c r="C47" s="31" t="s">
        <v>92</v>
      </c>
    </row>
    <row r="48" spans="1:15" x14ac:dyDescent="0.25">
      <c r="B48" s="17"/>
    </row>
    <row r="49" spans="2:2" x14ac:dyDescent="0.25">
      <c r="B49" s="17"/>
    </row>
    <row r="50" spans="2:2" x14ac:dyDescent="0.25">
      <c r="B50" s="17"/>
    </row>
    <row r="51" spans="2:2" x14ac:dyDescent="0.25">
      <c r="B51" s="17"/>
    </row>
    <row r="52" spans="2:2" x14ac:dyDescent="0.25">
      <c r="B52" s="17"/>
    </row>
    <row r="53" spans="2:2" x14ac:dyDescent="0.25">
      <c r="B53" s="17"/>
    </row>
    <row r="54" spans="2:2" x14ac:dyDescent="0.25">
      <c r="B54" s="17"/>
    </row>
    <row r="55" spans="2:2" x14ac:dyDescent="0.25">
      <c r="B55" s="17"/>
    </row>
    <row r="56" spans="2:2" x14ac:dyDescent="0.25">
      <c r="B56" s="17"/>
    </row>
    <row r="57" spans="2:2" x14ac:dyDescent="0.25">
      <c r="B57" s="17"/>
    </row>
    <row r="58" spans="2:2" x14ac:dyDescent="0.25">
      <c r="B58" s="17"/>
    </row>
    <row r="59" spans="2:2" x14ac:dyDescent="0.25">
      <c r="B59" s="17"/>
    </row>
    <row r="60" spans="2:2" x14ac:dyDescent="0.25">
      <c r="B60" s="17"/>
    </row>
    <row r="61" spans="2:2" x14ac:dyDescent="0.25">
      <c r="B61" s="17"/>
    </row>
    <row r="62" spans="2:2" x14ac:dyDescent="0.25">
      <c r="B62" s="17"/>
    </row>
    <row r="63" spans="2:2" x14ac:dyDescent="0.25">
      <c r="B63" s="17"/>
    </row>
    <row r="64" spans="2:2" x14ac:dyDescent="0.25">
      <c r="B64" s="17"/>
    </row>
    <row r="65" spans="2:2" x14ac:dyDescent="0.25">
      <c r="B65" s="17"/>
    </row>
    <row r="66" spans="2:2" x14ac:dyDescent="0.25">
      <c r="B66" s="17"/>
    </row>
    <row r="67" spans="2:2" x14ac:dyDescent="0.25">
      <c r="B67" s="17"/>
    </row>
    <row r="68" spans="2:2" x14ac:dyDescent="0.25">
      <c r="B68" s="17"/>
    </row>
    <row r="69" spans="2:2" x14ac:dyDescent="0.25">
      <c r="B69" s="17"/>
    </row>
    <row r="70" spans="2:2" x14ac:dyDescent="0.25">
      <c r="B70" s="17"/>
    </row>
    <row r="71" spans="2:2" x14ac:dyDescent="0.25">
      <c r="B71" s="17"/>
    </row>
    <row r="72" spans="2:2" x14ac:dyDescent="0.25">
      <c r="B72" s="17"/>
    </row>
    <row r="73" spans="2:2" x14ac:dyDescent="0.25">
      <c r="B73" s="17"/>
    </row>
    <row r="74" spans="2:2" x14ac:dyDescent="0.25">
      <c r="B74" s="17"/>
    </row>
    <row r="75" spans="2:2" x14ac:dyDescent="0.25">
      <c r="B75" s="17"/>
    </row>
    <row r="76" spans="2:2" x14ac:dyDescent="0.25">
      <c r="B76" s="17"/>
    </row>
    <row r="77" spans="2:2" x14ac:dyDescent="0.25">
      <c r="B77" s="17"/>
    </row>
    <row r="78" spans="2:2" x14ac:dyDescent="0.25">
      <c r="B78" s="17"/>
    </row>
    <row r="79" spans="2:2" x14ac:dyDescent="0.25">
      <c r="B79" s="17"/>
    </row>
    <row r="80" spans="2:2" x14ac:dyDescent="0.25">
      <c r="B80" s="17"/>
    </row>
    <row r="81" spans="2:2" x14ac:dyDescent="0.25">
      <c r="B81" s="17"/>
    </row>
    <row r="82" spans="2:2" x14ac:dyDescent="0.25">
      <c r="B82" s="17"/>
    </row>
    <row r="83" spans="2:2" x14ac:dyDescent="0.25">
      <c r="B83" s="17"/>
    </row>
    <row r="84" spans="2:2" x14ac:dyDescent="0.25">
      <c r="B84" s="17"/>
    </row>
    <row r="85" spans="2:2" x14ac:dyDescent="0.25">
      <c r="B85" s="17"/>
    </row>
    <row r="86" spans="2:2" x14ac:dyDescent="0.25">
      <c r="B86" s="17"/>
    </row>
    <row r="87" spans="2:2" x14ac:dyDescent="0.25">
      <c r="B87" s="17"/>
    </row>
    <row r="88" spans="2:2" x14ac:dyDescent="0.25">
      <c r="B88" s="17"/>
    </row>
    <row r="89" spans="2:2" x14ac:dyDescent="0.25">
      <c r="B89" s="17"/>
    </row>
    <row r="90" spans="2:2" x14ac:dyDescent="0.25">
      <c r="B90" s="17"/>
    </row>
    <row r="91" spans="2:2" x14ac:dyDescent="0.25">
      <c r="B91" s="17"/>
    </row>
    <row r="92" spans="2:2" x14ac:dyDescent="0.25">
      <c r="B92" s="17"/>
    </row>
    <row r="93" spans="2:2" x14ac:dyDescent="0.25">
      <c r="B93" s="17"/>
    </row>
    <row r="94" spans="2:2" x14ac:dyDescent="0.25">
      <c r="B94" s="17"/>
    </row>
    <row r="95" spans="2:2" x14ac:dyDescent="0.25">
      <c r="B95" s="17"/>
    </row>
    <row r="96" spans="2:2" x14ac:dyDescent="0.25">
      <c r="B96" s="17"/>
    </row>
    <row r="97" spans="2:2" x14ac:dyDescent="0.25">
      <c r="B97" s="17"/>
    </row>
    <row r="98" spans="2:2" x14ac:dyDescent="0.25">
      <c r="B98" s="17"/>
    </row>
    <row r="99" spans="2:2" x14ac:dyDescent="0.25">
      <c r="B99" s="17"/>
    </row>
    <row r="100" spans="2:2" x14ac:dyDescent="0.25">
      <c r="B100" s="17"/>
    </row>
  </sheetData>
  <mergeCells count="1">
    <mergeCell ref="B4:B5"/>
  </mergeCells>
  <pageMargins left="0.23622047244094491" right="0.23622047244094491" top="0.74803149606299213" bottom="0.74803149606299213" header="0.31496062992125984" footer="0.31496062992125984"/>
  <pageSetup scale="75" orientation="landscape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4:P45"/>
  <sheetViews>
    <sheetView tabSelected="1" topLeftCell="B5" zoomScale="80" zoomScaleNormal="80" workbookViewId="0">
      <selection activeCell="C23" sqref="C23"/>
    </sheetView>
  </sheetViews>
  <sheetFormatPr baseColWidth="10" defaultRowHeight="15" x14ac:dyDescent="0.25"/>
  <cols>
    <col min="1" max="1" width="14.85546875" bestFit="1" customWidth="1"/>
    <col min="2" max="2" width="48.7109375" customWidth="1"/>
    <col min="14" max="14" width="14.140625" bestFit="1" customWidth="1"/>
    <col min="15" max="16" width="38.5703125" customWidth="1"/>
  </cols>
  <sheetData>
    <row r="4" spans="1:16" x14ac:dyDescent="0.25">
      <c r="B4" s="52" t="s">
        <v>119</v>
      </c>
      <c r="C4" s="28" t="s">
        <v>103</v>
      </c>
      <c r="D4" s="29" t="s">
        <v>101</v>
      </c>
      <c r="E4" s="29" t="s">
        <v>99</v>
      </c>
      <c r="F4" s="29" t="s">
        <v>98</v>
      </c>
      <c r="G4" s="29" t="s">
        <v>97</v>
      </c>
      <c r="H4" s="29" t="s">
        <v>96</v>
      </c>
      <c r="I4" s="29" t="s">
        <v>95</v>
      </c>
      <c r="J4" s="29" t="s">
        <v>88</v>
      </c>
      <c r="K4" s="29" t="s">
        <v>93</v>
      </c>
      <c r="L4" s="29" t="s">
        <v>89</v>
      </c>
    </row>
    <row r="5" spans="1:16" x14ac:dyDescent="0.25">
      <c r="A5" s="1"/>
      <c r="B5" s="52"/>
      <c r="C5" s="2" t="s">
        <v>0</v>
      </c>
      <c r="D5" s="2" t="s">
        <v>1</v>
      </c>
      <c r="E5" s="2" t="s">
        <v>2</v>
      </c>
      <c r="F5" s="2" t="s">
        <v>3</v>
      </c>
      <c r="G5" s="2" t="s">
        <v>4</v>
      </c>
      <c r="H5" s="2" t="s">
        <v>5</v>
      </c>
      <c r="I5" s="2" t="s">
        <v>6</v>
      </c>
      <c r="J5" s="2" t="s">
        <v>7</v>
      </c>
      <c r="K5" s="2" t="s">
        <v>8</v>
      </c>
      <c r="L5" s="2" t="s">
        <v>9</v>
      </c>
    </row>
    <row r="6" spans="1:16" x14ac:dyDescent="0.25">
      <c r="A6" s="1"/>
      <c r="B6" s="1"/>
      <c r="C6" s="39" t="s">
        <v>57</v>
      </c>
      <c r="D6" s="39" t="s">
        <v>58</v>
      </c>
      <c r="E6" s="39" t="s">
        <v>59</v>
      </c>
      <c r="F6" s="39" t="s">
        <v>60</v>
      </c>
      <c r="G6" s="39" t="s">
        <v>61</v>
      </c>
      <c r="H6" s="39" t="s">
        <v>62</v>
      </c>
      <c r="I6" s="39" t="s">
        <v>63</v>
      </c>
      <c r="J6" s="39" t="s">
        <v>64</v>
      </c>
      <c r="K6" s="39" t="s">
        <v>65</v>
      </c>
      <c r="L6" s="39" t="s">
        <v>66</v>
      </c>
    </row>
    <row r="7" spans="1:16" x14ac:dyDescent="0.25">
      <c r="A7" s="1"/>
      <c r="B7" s="1"/>
      <c r="C7" s="39" t="s">
        <v>107</v>
      </c>
      <c r="D7" s="39" t="s">
        <v>113</v>
      </c>
      <c r="E7" s="39" t="s">
        <v>114</v>
      </c>
      <c r="F7" s="39" t="s">
        <v>115</v>
      </c>
      <c r="G7" s="39" t="s">
        <v>116</v>
      </c>
      <c r="H7" s="39" t="s">
        <v>117</v>
      </c>
      <c r="I7" s="39" t="s">
        <v>118</v>
      </c>
      <c r="J7" s="39" t="s">
        <v>120</v>
      </c>
      <c r="K7" s="39" t="s">
        <v>121</v>
      </c>
      <c r="L7" s="39" t="s">
        <v>122</v>
      </c>
      <c r="M7" s="36" t="s">
        <v>10</v>
      </c>
      <c r="N7" s="15" t="s">
        <v>123</v>
      </c>
      <c r="P7" t="s">
        <v>128</v>
      </c>
    </row>
    <row r="8" spans="1:16" x14ac:dyDescent="0.25">
      <c r="A8" s="1"/>
      <c r="B8" s="1"/>
      <c r="C8" s="35"/>
      <c r="D8" s="35"/>
      <c r="E8" s="35"/>
      <c r="F8" s="35"/>
      <c r="G8" s="35"/>
      <c r="H8" s="35"/>
      <c r="I8" s="35"/>
      <c r="J8" s="35"/>
      <c r="K8" s="35"/>
      <c r="L8" s="39" t="s">
        <v>124</v>
      </c>
      <c r="M8" s="36"/>
      <c r="N8" s="15"/>
    </row>
    <row r="9" spans="1:16" ht="18" customHeight="1" x14ac:dyDescent="0.25">
      <c r="A9" s="11" t="s">
        <v>11</v>
      </c>
      <c r="B9" s="11" t="s">
        <v>12</v>
      </c>
      <c r="C9" s="38">
        <v>1</v>
      </c>
      <c r="D9" s="38">
        <v>2</v>
      </c>
      <c r="E9" s="38">
        <v>2</v>
      </c>
      <c r="F9" s="5"/>
      <c r="G9" s="5"/>
      <c r="H9" s="5"/>
      <c r="I9" s="5"/>
      <c r="J9" s="5"/>
      <c r="K9" s="5"/>
      <c r="L9" s="38">
        <v>2</v>
      </c>
      <c r="M9" s="13">
        <f>C9+D9+E9+F9+G9+H9+I9+J9+K9+L9</f>
        <v>7</v>
      </c>
      <c r="N9" s="13">
        <v>7</v>
      </c>
    </row>
    <row r="10" spans="1:16" ht="15" customHeight="1" x14ac:dyDescent="0.25">
      <c r="A10" s="11" t="s">
        <v>35</v>
      </c>
      <c r="B10" s="11" t="s">
        <v>36</v>
      </c>
      <c r="C10" s="5"/>
      <c r="D10" s="5"/>
      <c r="E10" s="5"/>
      <c r="F10" s="38">
        <v>2</v>
      </c>
      <c r="G10" s="5"/>
      <c r="H10" s="5"/>
      <c r="I10" s="5"/>
      <c r="J10" s="5"/>
      <c r="K10" s="38">
        <v>1</v>
      </c>
      <c r="L10" s="5"/>
      <c r="M10" s="13">
        <f t="shared" ref="M10:M38" si="0">C10+D10+E10+F10+G10+H10+I10+J10+K10+L10</f>
        <v>3</v>
      </c>
      <c r="N10" s="13">
        <v>3</v>
      </c>
    </row>
    <row r="11" spans="1:16" s="45" customFormat="1" ht="60" x14ac:dyDescent="0.25">
      <c r="A11" s="41" t="s">
        <v>13</v>
      </c>
      <c r="B11" s="41" t="s">
        <v>14</v>
      </c>
      <c r="C11" s="42">
        <v>2</v>
      </c>
      <c r="D11" s="43"/>
      <c r="E11" s="42">
        <v>1</v>
      </c>
      <c r="F11" s="43"/>
      <c r="G11" s="43"/>
      <c r="H11" s="43"/>
      <c r="I11" s="42">
        <v>2</v>
      </c>
      <c r="J11" s="43"/>
      <c r="K11" s="42">
        <v>3</v>
      </c>
      <c r="L11" s="43"/>
      <c r="M11" s="44">
        <v>11</v>
      </c>
      <c r="N11" s="47">
        <v>8</v>
      </c>
      <c r="O11" s="46" t="s">
        <v>126</v>
      </c>
      <c r="P11" s="45" t="s">
        <v>129</v>
      </c>
    </row>
    <row r="12" spans="1:16" ht="14.25" customHeight="1" x14ac:dyDescent="0.25">
      <c r="A12" s="11" t="s">
        <v>15</v>
      </c>
      <c r="B12" s="11" t="s">
        <v>16</v>
      </c>
      <c r="C12" s="38">
        <v>2</v>
      </c>
      <c r="D12" s="5"/>
      <c r="E12" s="38">
        <v>1</v>
      </c>
      <c r="F12" s="5"/>
      <c r="G12" s="38">
        <v>1</v>
      </c>
      <c r="H12" s="5"/>
      <c r="I12" s="5"/>
      <c r="J12" s="5"/>
      <c r="K12" s="13"/>
      <c r="L12" s="5"/>
      <c r="M12" s="13">
        <f t="shared" si="0"/>
        <v>4</v>
      </c>
      <c r="N12" s="13">
        <v>4</v>
      </c>
    </row>
    <row r="13" spans="1:16" x14ac:dyDescent="0.25">
      <c r="A13" s="11" t="s">
        <v>23</v>
      </c>
      <c r="B13" s="11" t="s">
        <v>24</v>
      </c>
      <c r="C13" s="5"/>
      <c r="D13" s="38">
        <v>1</v>
      </c>
      <c r="E13" s="38">
        <v>1</v>
      </c>
      <c r="F13" s="5"/>
      <c r="G13" s="5"/>
      <c r="H13" s="5"/>
      <c r="I13" s="38">
        <v>2</v>
      </c>
      <c r="J13" s="5"/>
      <c r="K13" s="38">
        <v>1</v>
      </c>
      <c r="L13" s="5"/>
      <c r="M13" s="13">
        <f t="shared" si="0"/>
        <v>5</v>
      </c>
      <c r="N13" s="13">
        <v>5</v>
      </c>
    </row>
    <row r="14" spans="1:16" x14ac:dyDescent="0.25">
      <c r="A14" s="11" t="s">
        <v>25</v>
      </c>
      <c r="B14" s="11" t="s">
        <v>26</v>
      </c>
      <c r="C14" s="5"/>
      <c r="D14" s="38">
        <v>3</v>
      </c>
      <c r="E14" s="13"/>
      <c r="F14" s="38">
        <v>3</v>
      </c>
      <c r="G14" s="38">
        <v>2</v>
      </c>
      <c r="H14" s="38">
        <v>4</v>
      </c>
      <c r="I14" s="5"/>
      <c r="J14" s="38">
        <v>5</v>
      </c>
      <c r="K14" s="13"/>
      <c r="L14" s="38">
        <v>8</v>
      </c>
      <c r="M14" s="13">
        <f t="shared" si="0"/>
        <v>25</v>
      </c>
      <c r="N14" s="13">
        <v>25</v>
      </c>
    </row>
    <row r="15" spans="1:16" x14ac:dyDescent="0.25">
      <c r="A15" s="11" t="s">
        <v>25</v>
      </c>
      <c r="B15" s="11" t="s">
        <v>26</v>
      </c>
      <c r="C15" s="5"/>
      <c r="D15" s="5"/>
      <c r="E15" s="5"/>
      <c r="F15" s="5"/>
      <c r="G15" s="5"/>
      <c r="H15" s="5"/>
      <c r="I15" s="5"/>
      <c r="J15" s="38">
        <v>1</v>
      </c>
      <c r="K15" s="13"/>
      <c r="L15" s="5"/>
      <c r="M15" s="13">
        <f t="shared" si="0"/>
        <v>1</v>
      </c>
      <c r="N15" s="13">
        <v>1</v>
      </c>
    </row>
    <row r="16" spans="1:16" x14ac:dyDescent="0.25">
      <c r="A16" s="11" t="s">
        <v>37</v>
      </c>
      <c r="B16" s="11" t="s">
        <v>38</v>
      </c>
      <c r="C16" s="5"/>
      <c r="D16" s="5"/>
      <c r="E16" s="5"/>
      <c r="F16" s="5"/>
      <c r="G16" s="38">
        <v>1</v>
      </c>
      <c r="H16" s="5"/>
      <c r="I16" s="38">
        <v>2</v>
      </c>
      <c r="J16" s="5"/>
      <c r="K16" s="5"/>
      <c r="L16" s="5"/>
      <c r="M16" s="13">
        <f t="shared" si="0"/>
        <v>3</v>
      </c>
      <c r="N16" s="13">
        <v>3</v>
      </c>
    </row>
    <row r="17" spans="1:16" x14ac:dyDescent="0.25">
      <c r="A17" s="11" t="s">
        <v>17</v>
      </c>
      <c r="B17" s="11" t="s">
        <v>18</v>
      </c>
      <c r="C17" s="38">
        <v>1</v>
      </c>
      <c r="D17" s="5"/>
      <c r="E17" s="38">
        <v>1</v>
      </c>
      <c r="F17" s="5"/>
      <c r="G17" s="5"/>
      <c r="H17" s="38">
        <v>2</v>
      </c>
      <c r="I17" s="5"/>
      <c r="J17" s="5"/>
      <c r="K17" s="38">
        <v>1</v>
      </c>
      <c r="L17" s="5"/>
      <c r="M17" s="13">
        <f t="shared" si="0"/>
        <v>5</v>
      </c>
      <c r="N17" s="13">
        <v>5</v>
      </c>
    </row>
    <row r="18" spans="1:16" x14ac:dyDescent="0.25">
      <c r="A18" s="11" t="s">
        <v>19</v>
      </c>
      <c r="B18" s="11" t="s">
        <v>20</v>
      </c>
      <c r="C18" s="38">
        <v>1</v>
      </c>
      <c r="D18" s="5"/>
      <c r="E18" s="5"/>
      <c r="F18" s="5"/>
      <c r="G18" s="5"/>
      <c r="H18" s="5"/>
      <c r="I18" s="5"/>
      <c r="J18" s="5"/>
      <c r="K18" s="38">
        <v>1</v>
      </c>
      <c r="L18" s="5"/>
      <c r="M18" s="13">
        <f t="shared" si="0"/>
        <v>2</v>
      </c>
      <c r="N18" s="13">
        <v>2</v>
      </c>
    </row>
    <row r="19" spans="1:16" ht="14.25" customHeight="1" x14ac:dyDescent="0.25">
      <c r="A19" s="11" t="s">
        <v>27</v>
      </c>
      <c r="B19" s="11" t="s">
        <v>28</v>
      </c>
      <c r="C19" s="5"/>
      <c r="D19" s="38">
        <v>2</v>
      </c>
      <c r="E19" s="5"/>
      <c r="F19" s="38">
        <v>2</v>
      </c>
      <c r="G19" s="5"/>
      <c r="H19" s="5"/>
      <c r="I19" s="5"/>
      <c r="J19" s="5"/>
      <c r="K19" s="13"/>
      <c r="L19" s="38">
        <v>2</v>
      </c>
      <c r="M19" s="13">
        <f t="shared" si="0"/>
        <v>6</v>
      </c>
      <c r="N19" s="13">
        <v>6</v>
      </c>
    </row>
    <row r="20" spans="1:16" x14ac:dyDescent="0.25">
      <c r="A20" s="11" t="s">
        <v>31</v>
      </c>
      <c r="B20" s="11" t="s">
        <v>32</v>
      </c>
      <c r="C20" s="5"/>
      <c r="D20" s="5"/>
      <c r="E20" s="38">
        <v>1</v>
      </c>
      <c r="F20" s="5"/>
      <c r="G20" s="38">
        <v>2</v>
      </c>
      <c r="H20" s="5"/>
      <c r="I20" s="5"/>
      <c r="J20" s="5"/>
      <c r="K20" s="13"/>
      <c r="L20" s="5"/>
      <c r="M20" s="13">
        <f t="shared" si="0"/>
        <v>3</v>
      </c>
      <c r="N20" s="13">
        <v>3</v>
      </c>
    </row>
    <row r="21" spans="1:16" x14ac:dyDescent="0.25">
      <c r="A21" s="11" t="s">
        <v>112</v>
      </c>
      <c r="B21" s="11" t="s">
        <v>111</v>
      </c>
      <c r="C21" s="38">
        <v>1</v>
      </c>
      <c r="D21" s="5"/>
      <c r="E21" s="5"/>
      <c r="F21" s="5"/>
      <c r="G21" s="5"/>
      <c r="H21" s="5"/>
      <c r="I21" s="5"/>
      <c r="J21" s="5"/>
      <c r="K21" s="38">
        <v>1</v>
      </c>
      <c r="L21" s="5"/>
      <c r="M21" s="13">
        <f t="shared" si="0"/>
        <v>2</v>
      </c>
      <c r="N21" s="13">
        <v>2</v>
      </c>
    </row>
    <row r="22" spans="1:16" x14ac:dyDescent="0.25">
      <c r="A22" s="11" t="s">
        <v>21</v>
      </c>
      <c r="B22" s="11" t="s">
        <v>22</v>
      </c>
      <c r="C22" s="38">
        <v>1</v>
      </c>
      <c r="D22" s="5"/>
      <c r="E22" s="5"/>
      <c r="F22" s="5"/>
      <c r="G22" s="5"/>
      <c r="H22" s="5"/>
      <c r="I22" s="5"/>
      <c r="J22" s="5"/>
      <c r="K22" s="13"/>
      <c r="L22" s="5"/>
      <c r="M22" s="13">
        <f t="shared" si="0"/>
        <v>1</v>
      </c>
      <c r="N22" s="13">
        <v>1</v>
      </c>
    </row>
    <row r="23" spans="1:16" ht="30" x14ac:dyDescent="0.25">
      <c r="A23" s="11" t="s">
        <v>109</v>
      </c>
      <c r="B23" s="11" t="s">
        <v>108</v>
      </c>
      <c r="C23" s="37">
        <v>1</v>
      </c>
      <c r="D23" s="5"/>
      <c r="E23" s="5"/>
      <c r="F23" s="5"/>
      <c r="G23" s="5"/>
      <c r="H23" s="5"/>
      <c r="I23" s="5"/>
      <c r="J23" s="5"/>
      <c r="K23" s="13"/>
      <c r="L23" s="5"/>
      <c r="M23" s="13">
        <f t="shared" si="0"/>
        <v>1</v>
      </c>
      <c r="N23" s="37">
        <v>1</v>
      </c>
      <c r="O23" s="46" t="s">
        <v>125</v>
      </c>
    </row>
    <row r="24" spans="1:16" x14ac:dyDescent="0.25">
      <c r="A24" s="11" t="s">
        <v>29</v>
      </c>
      <c r="B24" s="11" t="s">
        <v>30</v>
      </c>
      <c r="C24" s="5"/>
      <c r="D24" s="38">
        <v>2</v>
      </c>
      <c r="E24" s="5"/>
      <c r="F24" s="5"/>
      <c r="G24" s="5"/>
      <c r="H24" s="5"/>
      <c r="I24" s="5"/>
      <c r="J24" s="5"/>
      <c r="K24" s="38">
        <v>2</v>
      </c>
      <c r="L24" s="5"/>
      <c r="M24" s="13">
        <f t="shared" si="0"/>
        <v>4</v>
      </c>
      <c r="N24" s="13">
        <v>4</v>
      </c>
    </row>
    <row r="25" spans="1:16" x14ac:dyDescent="0.25">
      <c r="A25" s="11" t="s">
        <v>39</v>
      </c>
      <c r="B25" s="11" t="s">
        <v>40</v>
      </c>
      <c r="C25" s="5"/>
      <c r="D25" s="5"/>
      <c r="E25" s="5"/>
      <c r="F25" s="5"/>
      <c r="G25" s="5"/>
      <c r="H25" s="5"/>
      <c r="I25" s="38">
        <v>2</v>
      </c>
      <c r="J25" s="5"/>
      <c r="K25" s="38">
        <v>1</v>
      </c>
      <c r="L25" s="38">
        <v>1</v>
      </c>
      <c r="M25" s="13">
        <f t="shared" si="0"/>
        <v>4</v>
      </c>
      <c r="N25" s="13">
        <v>4</v>
      </c>
    </row>
    <row r="26" spans="1:16" x14ac:dyDescent="0.25">
      <c r="A26" s="11" t="s">
        <v>41</v>
      </c>
      <c r="B26" s="11" t="s">
        <v>42</v>
      </c>
      <c r="C26" s="5"/>
      <c r="D26" s="5"/>
      <c r="E26" s="5"/>
      <c r="F26" s="5"/>
      <c r="G26" s="5"/>
      <c r="H26" s="5"/>
      <c r="I26" s="5"/>
      <c r="J26" s="38">
        <v>4</v>
      </c>
      <c r="K26" s="38">
        <v>2</v>
      </c>
      <c r="L26" s="5"/>
      <c r="M26" s="13">
        <f t="shared" si="0"/>
        <v>6</v>
      </c>
      <c r="N26" s="13">
        <v>6</v>
      </c>
    </row>
    <row r="27" spans="1:16" x14ac:dyDescent="0.25">
      <c r="A27" s="11" t="s">
        <v>47</v>
      </c>
      <c r="B27" s="11" t="s">
        <v>48</v>
      </c>
      <c r="C27" s="5"/>
      <c r="D27" s="5"/>
      <c r="E27" s="5"/>
      <c r="F27" s="5"/>
      <c r="G27" s="5"/>
      <c r="H27" s="5"/>
      <c r="I27" s="5"/>
      <c r="J27" s="5"/>
      <c r="K27" s="5"/>
      <c r="L27" s="38">
        <v>4</v>
      </c>
      <c r="M27" s="13">
        <f t="shared" si="0"/>
        <v>4</v>
      </c>
      <c r="N27" s="13">
        <v>4</v>
      </c>
    </row>
    <row r="28" spans="1:16" x14ac:dyDescent="0.25">
      <c r="A28" s="11" t="s">
        <v>43</v>
      </c>
      <c r="B28" s="11" t="s">
        <v>44</v>
      </c>
      <c r="C28" s="5"/>
      <c r="D28" s="5"/>
      <c r="E28" s="5"/>
      <c r="F28" s="5"/>
      <c r="G28" s="5"/>
      <c r="H28" s="5"/>
      <c r="I28" s="5"/>
      <c r="J28" s="5"/>
      <c r="K28" s="38">
        <v>3</v>
      </c>
      <c r="L28" s="5"/>
      <c r="M28" s="13">
        <f t="shared" si="0"/>
        <v>3</v>
      </c>
      <c r="N28" s="13">
        <v>3</v>
      </c>
    </row>
    <row r="29" spans="1:16" x14ac:dyDescent="0.25">
      <c r="A29" s="11" t="s">
        <v>49</v>
      </c>
      <c r="B29" s="11" t="s">
        <v>50</v>
      </c>
      <c r="C29" s="5"/>
      <c r="D29" s="5"/>
      <c r="E29" s="5"/>
      <c r="F29" s="5"/>
      <c r="G29" s="5"/>
      <c r="H29" s="5"/>
      <c r="I29" s="5"/>
      <c r="J29" s="5"/>
      <c r="K29" s="5"/>
      <c r="L29" s="38">
        <v>2</v>
      </c>
      <c r="M29" s="13">
        <f t="shared" si="0"/>
        <v>2</v>
      </c>
      <c r="N29" s="13">
        <v>2</v>
      </c>
    </row>
    <row r="30" spans="1:16" x14ac:dyDescent="0.25">
      <c r="A30" s="11" t="s">
        <v>53</v>
      </c>
      <c r="B30" s="11" t="s">
        <v>54</v>
      </c>
      <c r="C30" s="5"/>
      <c r="D30" s="5"/>
      <c r="E30" s="5"/>
      <c r="F30" s="5"/>
      <c r="G30" s="5"/>
      <c r="H30" s="5"/>
      <c r="I30" s="5"/>
      <c r="J30" s="5"/>
      <c r="K30" s="5"/>
      <c r="L30" s="38">
        <v>1</v>
      </c>
      <c r="M30" s="13">
        <f t="shared" si="0"/>
        <v>1</v>
      </c>
      <c r="N30" s="13">
        <v>1</v>
      </c>
    </row>
    <row r="31" spans="1:16" s="45" customFormat="1" ht="45" x14ac:dyDescent="0.25">
      <c r="A31" s="41" t="s">
        <v>45</v>
      </c>
      <c r="B31" s="41" t="s">
        <v>46</v>
      </c>
      <c r="C31" s="44"/>
      <c r="D31" s="44"/>
      <c r="E31" s="44"/>
      <c r="F31" s="44"/>
      <c r="G31" s="44"/>
      <c r="H31" s="44"/>
      <c r="I31" s="44"/>
      <c r="J31" s="44"/>
      <c r="K31" s="51">
        <v>2</v>
      </c>
      <c r="L31" s="44"/>
      <c r="M31" s="44">
        <f t="shared" si="0"/>
        <v>2</v>
      </c>
      <c r="N31" s="47">
        <v>2</v>
      </c>
      <c r="O31" s="46" t="s">
        <v>127</v>
      </c>
      <c r="P31" s="45" t="s">
        <v>130</v>
      </c>
    </row>
    <row r="32" spans="1:16" x14ac:dyDescent="0.25">
      <c r="A32" s="11" t="s">
        <v>51</v>
      </c>
      <c r="B32" s="11" t="s">
        <v>52</v>
      </c>
      <c r="C32" s="13"/>
      <c r="D32" s="13"/>
      <c r="E32" s="13"/>
      <c r="F32" s="13"/>
      <c r="G32" s="13"/>
      <c r="H32" s="13"/>
      <c r="I32" s="13"/>
      <c r="J32" s="13"/>
      <c r="K32" s="13"/>
      <c r="L32" s="38">
        <v>1</v>
      </c>
      <c r="M32" s="13">
        <f t="shared" si="0"/>
        <v>1</v>
      </c>
      <c r="N32" s="13">
        <v>1</v>
      </c>
    </row>
    <row r="33" spans="1:14" ht="15" customHeight="1" x14ac:dyDescent="0.25">
      <c r="A33" s="11" t="s">
        <v>55</v>
      </c>
      <c r="B33" s="12" t="s">
        <v>56</v>
      </c>
      <c r="C33" s="40">
        <v>1</v>
      </c>
      <c r="D33" s="40">
        <v>1</v>
      </c>
      <c r="E33" s="40">
        <v>1</v>
      </c>
      <c r="F33" s="8"/>
      <c r="G33" s="8"/>
      <c r="H33" s="8"/>
      <c r="I33" s="8"/>
      <c r="J33" s="8"/>
      <c r="K33" s="8"/>
      <c r="L33" s="40">
        <v>1</v>
      </c>
      <c r="M33" s="13">
        <f t="shared" si="0"/>
        <v>4</v>
      </c>
      <c r="N33" s="13">
        <v>4</v>
      </c>
    </row>
    <row r="34" spans="1:14" x14ac:dyDescent="0.25">
      <c r="A34" s="11" t="s">
        <v>69</v>
      </c>
      <c r="B34" s="11" t="s">
        <v>70</v>
      </c>
      <c r="C34" s="8"/>
      <c r="D34" s="8"/>
      <c r="E34" s="40">
        <v>2</v>
      </c>
      <c r="F34" s="40">
        <v>2</v>
      </c>
      <c r="G34" s="40">
        <v>3</v>
      </c>
      <c r="H34" s="40">
        <v>3</v>
      </c>
      <c r="I34" s="8"/>
      <c r="J34" s="8"/>
      <c r="K34" s="40">
        <v>1</v>
      </c>
      <c r="L34" s="40">
        <v>1</v>
      </c>
      <c r="M34" s="13">
        <f t="shared" si="0"/>
        <v>12</v>
      </c>
      <c r="N34" s="13">
        <v>12</v>
      </c>
    </row>
    <row r="35" spans="1:14" x14ac:dyDescent="0.25">
      <c r="A35" s="11" t="s">
        <v>71</v>
      </c>
      <c r="B35" s="7" t="s">
        <v>72</v>
      </c>
      <c r="C35" s="8"/>
      <c r="D35" s="8"/>
      <c r="E35" s="8"/>
      <c r="F35" s="8"/>
      <c r="G35" s="8"/>
      <c r="H35" s="8"/>
      <c r="I35" s="40">
        <v>2</v>
      </c>
      <c r="J35" s="40">
        <v>1</v>
      </c>
      <c r="K35" s="40">
        <v>2</v>
      </c>
      <c r="L35" s="40">
        <v>1</v>
      </c>
      <c r="M35" s="13">
        <f t="shared" si="0"/>
        <v>6</v>
      </c>
      <c r="N35" s="13">
        <v>6</v>
      </c>
    </row>
    <row r="36" spans="1:14" x14ac:dyDescent="0.25">
      <c r="A36" s="11" t="s">
        <v>73</v>
      </c>
      <c r="B36" s="7" t="s">
        <v>74</v>
      </c>
      <c r="C36" s="8"/>
      <c r="D36" s="8"/>
      <c r="E36" s="8"/>
      <c r="F36" s="8"/>
      <c r="G36" s="8"/>
      <c r="H36" s="8"/>
      <c r="I36" s="8"/>
      <c r="J36" s="8"/>
      <c r="K36" s="40">
        <v>1</v>
      </c>
      <c r="L36" s="40">
        <v>1</v>
      </c>
      <c r="M36" s="13">
        <f t="shared" si="0"/>
        <v>2</v>
      </c>
      <c r="N36" s="13">
        <v>2</v>
      </c>
    </row>
    <row r="37" spans="1:14" x14ac:dyDescent="0.25">
      <c r="A37" s="11" t="s">
        <v>33</v>
      </c>
      <c r="B37" s="11" t="s">
        <v>34</v>
      </c>
      <c r="C37" s="5"/>
      <c r="D37" s="5"/>
      <c r="E37" s="38">
        <v>8</v>
      </c>
      <c r="F37" s="38">
        <v>8</v>
      </c>
      <c r="G37" s="38">
        <v>12</v>
      </c>
      <c r="H37" s="38">
        <v>12</v>
      </c>
      <c r="I37" s="5"/>
      <c r="J37" s="5"/>
      <c r="K37" s="38">
        <v>8</v>
      </c>
      <c r="L37" s="38">
        <v>8</v>
      </c>
      <c r="M37" s="13">
        <f t="shared" si="0"/>
        <v>56</v>
      </c>
      <c r="N37" s="13">
        <v>56</v>
      </c>
    </row>
    <row r="38" spans="1:14" x14ac:dyDescent="0.25">
      <c r="A38" s="11" t="s">
        <v>67</v>
      </c>
      <c r="B38" s="11" t="s">
        <v>68</v>
      </c>
      <c r="C38" s="40">
        <v>1</v>
      </c>
      <c r="D38" s="40">
        <v>1</v>
      </c>
      <c r="E38" s="8"/>
      <c r="F38" s="8"/>
      <c r="G38" s="8"/>
      <c r="H38" s="8"/>
      <c r="I38" s="8"/>
      <c r="J38" s="8"/>
      <c r="K38" s="40">
        <v>1</v>
      </c>
      <c r="L38" s="8"/>
      <c r="M38" s="13">
        <f t="shared" si="0"/>
        <v>3</v>
      </c>
      <c r="N38" s="13">
        <v>3</v>
      </c>
    </row>
    <row r="40" spans="1:14" x14ac:dyDescent="0.25">
      <c r="B40" s="50" t="s">
        <v>90</v>
      </c>
      <c r="C40" s="17"/>
    </row>
    <row r="41" spans="1:14" x14ac:dyDescent="0.25">
      <c r="B41" s="17" t="s">
        <v>91</v>
      </c>
      <c r="C41" s="17" t="s">
        <v>92</v>
      </c>
    </row>
    <row r="42" spans="1:14" x14ac:dyDescent="0.25">
      <c r="B42" s="17" t="s">
        <v>100</v>
      </c>
      <c r="C42" s="17" t="s">
        <v>92</v>
      </c>
    </row>
    <row r="43" spans="1:14" x14ac:dyDescent="0.25">
      <c r="B43" s="17" t="s">
        <v>102</v>
      </c>
      <c r="C43" s="17" t="s">
        <v>92</v>
      </c>
    </row>
    <row r="44" spans="1:14" x14ac:dyDescent="0.25">
      <c r="B44" s="17" t="s">
        <v>104</v>
      </c>
      <c r="C44" s="17" t="s">
        <v>92</v>
      </c>
    </row>
    <row r="45" spans="1:14" ht="30" x14ac:dyDescent="0.25">
      <c r="B45" s="48" t="s">
        <v>110</v>
      </c>
      <c r="C45" s="49" t="s">
        <v>92</v>
      </c>
    </row>
  </sheetData>
  <mergeCells count="1">
    <mergeCell ref="B4:B5"/>
  </mergeCells>
  <pageMargins left="0.7" right="0.7" top="0.75" bottom="0.75" header="0.3" footer="0.3"/>
  <pageSetup orientation="portrait" horizontalDpi="0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2</vt:i4>
      </vt:variant>
      <vt:variant>
        <vt:lpstr>Rangos con nombre</vt:lpstr>
      </vt:variant>
      <vt:variant>
        <vt:i4>1</vt:i4>
      </vt:variant>
    </vt:vector>
  </HeadingPairs>
  <TitlesOfParts>
    <vt:vector size="3" baseType="lpstr">
      <vt:lpstr>Hoja1</vt:lpstr>
      <vt:lpstr>Hoja2</vt:lpstr>
      <vt:lpstr>Hoja1!Área_de_impresión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Jaime</dc:creator>
  <cp:lastModifiedBy>miguel</cp:lastModifiedBy>
  <cp:lastPrinted>2020-04-24T21:20:54Z</cp:lastPrinted>
  <dcterms:created xsi:type="dcterms:W3CDTF">2020-03-06T11:25:09Z</dcterms:created>
  <dcterms:modified xsi:type="dcterms:W3CDTF">2020-08-11T21:01:22Z</dcterms:modified>
</cp:coreProperties>
</file>